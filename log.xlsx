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ryooo\OneDrive\"/>
    </mc:Choice>
  </mc:AlternateContent>
  <bookViews>
    <workbookView xWindow="0" yWindow="0" windowWidth="11170" windowHeight="5130"/>
  </bookViews>
  <sheets>
    <sheet name="Sheet1" sheetId="1" r:id="rId1"/>
    <sheet name="Sheet2" sheetId="2" r:id="rId2"/>
    <sheet name="Sheet3" sheetId="3" r:id="rId3"/>
    <sheet name="Sheet4" sheetId="4" r:id="rId4"/>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8" i="1" l="1"/>
  <c r="G649" i="1" s="1"/>
  <c r="G650" i="1" s="1"/>
  <c r="G642" i="1" l="1"/>
  <c r="G643" i="1" s="1"/>
  <c r="G644" i="1" s="1"/>
  <c r="G645" i="1" s="1"/>
  <c r="G646" i="1" s="1"/>
  <c r="G647" i="1" s="1"/>
  <c r="L629" i="1" l="1"/>
  <c r="L630" i="1" s="1"/>
  <c r="L631" i="1" s="1"/>
  <c r="L632" i="1" s="1"/>
  <c r="L633" i="1" s="1"/>
  <c r="L634" i="1" s="1"/>
  <c r="L635" i="1" s="1"/>
  <c r="G630" i="1"/>
  <c r="G631" i="1" s="1"/>
  <c r="G632" i="1" s="1"/>
  <c r="G633" i="1" s="1"/>
  <c r="G634" i="1" s="1"/>
  <c r="G635" i="1" s="1"/>
  <c r="G636" i="1" s="1"/>
  <c r="G637" i="1" s="1"/>
  <c r="G638" i="1" s="1"/>
  <c r="G639" i="1" s="1"/>
  <c r="G640" i="1" s="1"/>
  <c r="G641" i="1" s="1"/>
  <c r="G629" i="1" l="1"/>
  <c r="G628" i="1" l="1"/>
  <c r="L628" i="1" l="1"/>
  <c r="G623" i="1" l="1"/>
  <c r="G624" i="1" s="1"/>
  <c r="G625" i="1" s="1"/>
  <c r="G626" i="1" s="1"/>
  <c r="G627" i="1" s="1"/>
  <c r="G622" i="1" l="1"/>
  <c r="G621" i="1" l="1"/>
  <c r="G620" i="1" l="1"/>
  <c r="C624" i="1" l="1"/>
  <c r="C625" i="1" s="1"/>
  <c r="C623" i="1"/>
  <c r="A623" i="1" s="1"/>
  <c r="B623" i="1"/>
  <c r="C622" i="1"/>
  <c r="B622" i="1"/>
  <c r="A622" i="1"/>
  <c r="C621" i="1"/>
  <c r="B621" i="1"/>
  <c r="A621" i="1"/>
  <c r="C626" i="1" l="1"/>
  <c r="B625" i="1"/>
  <c r="A625" i="1"/>
  <c r="A624" i="1"/>
  <c r="B624" i="1"/>
  <c r="G619" i="1"/>
  <c r="C627" i="1" l="1"/>
  <c r="B626" i="1"/>
  <c r="A626" i="1"/>
  <c r="G618" i="1"/>
  <c r="A627" i="1" l="1"/>
  <c r="B627" i="1"/>
  <c r="C628" i="1"/>
  <c r="G616" i="1"/>
  <c r="G617" i="1" s="1"/>
  <c r="C629" i="1" l="1"/>
  <c r="B628" i="1"/>
  <c r="A628" i="1"/>
  <c r="G615" i="1"/>
  <c r="C630" i="1" l="1"/>
  <c r="B629" i="1"/>
  <c r="A629" i="1"/>
  <c r="G614" i="1"/>
  <c r="A630" i="1" l="1"/>
  <c r="C631" i="1"/>
  <c r="B630" i="1"/>
  <c r="G612" i="1"/>
  <c r="G613" i="1" s="1"/>
  <c r="A631" i="1" l="1"/>
  <c r="C632" i="1"/>
  <c r="B631" i="1"/>
  <c r="G607" i="1"/>
  <c r="G608" i="1" s="1"/>
  <c r="G609" i="1" s="1"/>
  <c r="G610" i="1" s="1"/>
  <c r="G611" i="1" s="1"/>
  <c r="C633" i="1" l="1"/>
  <c r="B632" i="1"/>
  <c r="A632" i="1"/>
  <c r="G606" i="1"/>
  <c r="C634" i="1" l="1"/>
  <c r="B633" i="1"/>
  <c r="A633" i="1"/>
  <c r="G605" i="1"/>
  <c r="C635" i="1" l="1"/>
  <c r="B634" i="1"/>
  <c r="A634" i="1"/>
  <c r="G604" i="1"/>
  <c r="G603" i="1"/>
  <c r="A635" i="1" l="1"/>
  <c r="B635" i="1"/>
  <c r="C636" i="1"/>
  <c r="G602" i="1"/>
  <c r="C637" i="1" l="1"/>
  <c r="B636" i="1"/>
  <c r="A636" i="1"/>
  <c r="G601" i="1"/>
  <c r="C638" i="1" l="1"/>
  <c r="B637" i="1"/>
  <c r="A637" i="1"/>
  <c r="B22" i="2"/>
  <c r="A22" i="2" s="1"/>
  <c r="A638" i="1" l="1"/>
  <c r="C639" i="1"/>
  <c r="B638" i="1"/>
  <c r="C22" i="2"/>
  <c r="G598" i="1"/>
  <c r="G599" i="1" s="1"/>
  <c r="G600" i="1" s="1"/>
  <c r="A639" i="1" l="1"/>
  <c r="B639" i="1"/>
  <c r="C640" i="1"/>
  <c r="G584" i="1"/>
  <c r="G585" i="1" s="1"/>
  <c r="G586" i="1" s="1"/>
  <c r="G587" i="1" s="1"/>
  <c r="G588" i="1" s="1"/>
  <c r="G589" i="1" s="1"/>
  <c r="G590" i="1" s="1"/>
  <c r="G591" i="1" s="1"/>
  <c r="G592" i="1" s="1"/>
  <c r="G593" i="1" s="1"/>
  <c r="G594" i="1" s="1"/>
  <c r="G595" i="1" s="1"/>
  <c r="G596" i="1" s="1"/>
  <c r="G597" i="1" s="1"/>
  <c r="C641" i="1" l="1"/>
  <c r="B640" i="1"/>
  <c r="A640" i="1"/>
  <c r="G582" i="1"/>
  <c r="G583" i="1" s="1"/>
  <c r="C642" i="1" l="1"/>
  <c r="B641" i="1"/>
  <c r="A641" i="1"/>
  <c r="G580" i="1"/>
  <c r="G581" i="1" s="1"/>
  <c r="A642" i="1" l="1"/>
  <c r="C643" i="1"/>
  <c r="B642" i="1"/>
  <c r="G578" i="1"/>
  <c r="G579" i="1" s="1"/>
  <c r="A643" i="1" l="1"/>
  <c r="B643" i="1"/>
  <c r="C644" i="1"/>
  <c r="G577" i="1"/>
  <c r="C645" i="1" l="1"/>
  <c r="B644" i="1"/>
  <c r="A644" i="1"/>
  <c r="G574" i="1"/>
  <c r="G575" i="1" s="1"/>
  <c r="G576" i="1" s="1"/>
  <c r="C646" i="1" l="1"/>
  <c r="B645" i="1"/>
  <c r="A645" i="1"/>
  <c r="G573" i="1"/>
  <c r="A646" i="1" l="1"/>
  <c r="C647" i="1"/>
  <c r="B646" i="1"/>
  <c r="G572" i="1"/>
  <c r="A647" i="1" l="1"/>
  <c r="C648" i="1"/>
  <c r="B647" i="1"/>
  <c r="G571" i="1"/>
  <c r="C649" i="1" l="1"/>
  <c r="B648" i="1"/>
  <c r="A648" i="1"/>
  <c r="G570" i="1"/>
  <c r="C650" i="1" l="1"/>
  <c r="B649" i="1"/>
  <c r="A649" i="1"/>
  <c r="G569" i="1"/>
  <c r="C651" i="1" l="1"/>
  <c r="B650" i="1"/>
  <c r="A650" i="1"/>
  <c r="C652" i="1" l="1"/>
  <c r="B651" i="1"/>
  <c r="A651" i="1"/>
  <c r="G567" i="1"/>
  <c r="G568" i="1" s="1"/>
  <c r="C653" i="1" l="1"/>
  <c r="B652" i="1"/>
  <c r="A652" i="1"/>
  <c r="G565" i="1"/>
  <c r="G566" i="1" s="1"/>
  <c r="G564" i="1"/>
  <c r="G563" i="1"/>
  <c r="A653" i="1" l="1"/>
  <c r="B653" i="1"/>
  <c r="C654" i="1"/>
  <c r="B21" i="2"/>
  <c r="A21" i="2" s="1"/>
  <c r="G562" i="1"/>
  <c r="C655" i="1" l="1"/>
  <c r="B654" i="1"/>
  <c r="A654" i="1"/>
  <c r="C21" i="2"/>
  <c r="G561" i="1"/>
  <c r="C656" i="1" l="1"/>
  <c r="B655" i="1"/>
  <c r="A655" i="1"/>
  <c r="G560" i="1"/>
  <c r="B656" i="1" l="1"/>
  <c r="A656" i="1"/>
  <c r="C657" i="1"/>
  <c r="G559" i="1"/>
  <c r="G558" i="1"/>
  <c r="A657" i="1" l="1"/>
  <c r="B657" i="1"/>
  <c r="C658" i="1"/>
  <c r="G557" i="1"/>
  <c r="C659" i="1" l="1"/>
  <c r="B658" i="1"/>
  <c r="A658" i="1"/>
  <c r="G556" i="1"/>
  <c r="C660" i="1" l="1"/>
  <c r="B659" i="1"/>
  <c r="A659" i="1"/>
  <c r="G555" i="1"/>
  <c r="G554" i="1"/>
  <c r="C661" i="1" l="1"/>
  <c r="B660" i="1"/>
  <c r="A660" i="1"/>
  <c r="G553" i="1"/>
  <c r="A661" i="1" l="1"/>
  <c r="B661" i="1"/>
  <c r="C662" i="1"/>
  <c r="G552" i="1"/>
  <c r="C663" i="1" l="1"/>
  <c r="B662" i="1"/>
  <c r="A662" i="1"/>
  <c r="G551" i="1"/>
  <c r="G550" i="1"/>
  <c r="C664" i="1" l="1"/>
  <c r="B663" i="1"/>
  <c r="A663" i="1"/>
  <c r="G549" i="1"/>
  <c r="G548" i="1"/>
  <c r="B664" i="1" l="1"/>
  <c r="A664" i="1"/>
  <c r="C665" i="1"/>
  <c r="G547" i="1"/>
  <c r="A665" i="1" l="1"/>
  <c r="B665" i="1"/>
  <c r="C666" i="1"/>
  <c r="G546" i="1"/>
  <c r="C667" i="1" l="1"/>
  <c r="B666" i="1"/>
  <c r="A666" i="1"/>
  <c r="G545" i="1"/>
  <c r="C668" i="1" l="1"/>
  <c r="B667" i="1"/>
  <c r="A667" i="1"/>
  <c r="G544" i="1"/>
  <c r="G543" i="1"/>
  <c r="G542" i="1"/>
  <c r="G541" i="1"/>
  <c r="C669" i="1" l="1"/>
  <c r="B668" i="1"/>
  <c r="A668" i="1"/>
  <c r="G540" i="1"/>
  <c r="A669" i="1" l="1"/>
  <c r="B669" i="1"/>
  <c r="C670" i="1"/>
  <c r="G539" i="1"/>
  <c r="G538" i="1"/>
  <c r="G537" i="1"/>
  <c r="G536" i="1"/>
  <c r="G535" i="1"/>
  <c r="G534" i="1"/>
  <c r="C671" i="1" l="1"/>
  <c r="B670" i="1"/>
  <c r="A670" i="1"/>
  <c r="C20" i="2"/>
  <c r="C19" i="2"/>
  <c r="C18" i="2"/>
  <c r="C17" i="2"/>
  <c r="C16" i="2"/>
  <c r="C15" i="2"/>
  <c r="C14" i="2"/>
  <c r="C13" i="2"/>
  <c r="C12" i="2"/>
  <c r="C11" i="2"/>
  <c r="C10" i="2"/>
  <c r="C9" i="2"/>
  <c r="C8" i="2"/>
  <c r="C7" i="2"/>
  <c r="C6" i="2"/>
  <c r="C5" i="2"/>
  <c r="C4" i="2"/>
  <c r="C3" i="2"/>
  <c r="C2" i="2"/>
  <c r="G533" i="1"/>
  <c r="C672" i="1" l="1"/>
  <c r="B671" i="1"/>
  <c r="A671" i="1"/>
  <c r="B20" i="2"/>
  <c r="A20" i="2" s="1"/>
  <c r="B672" i="1" l="1"/>
  <c r="A672" i="1"/>
  <c r="C673" i="1"/>
  <c r="A673" i="1" l="1"/>
  <c r="B673" i="1"/>
  <c r="C674" i="1"/>
  <c r="G532" i="1"/>
  <c r="C675" i="1" l="1"/>
  <c r="B674" i="1"/>
  <c r="A674" i="1"/>
  <c r="G531" i="1"/>
  <c r="C676" i="1" l="1"/>
  <c r="B675" i="1"/>
  <c r="A675" i="1"/>
  <c r="G530" i="1"/>
  <c r="C677" i="1" l="1"/>
  <c r="B676" i="1"/>
  <c r="A676" i="1"/>
  <c r="G529" i="1"/>
  <c r="A677" i="1" l="1"/>
  <c r="C678" i="1"/>
  <c r="B677" i="1"/>
  <c r="G528" i="1"/>
  <c r="G527" i="1"/>
  <c r="G526" i="1"/>
  <c r="C679" i="1" l="1"/>
  <c r="B678" i="1"/>
  <c r="A678" i="1"/>
  <c r="G525" i="1"/>
  <c r="C680" i="1" l="1"/>
  <c r="B679" i="1"/>
  <c r="A679" i="1"/>
  <c r="G524" i="1"/>
  <c r="G523" i="1"/>
  <c r="B680" i="1" l="1"/>
  <c r="A680" i="1"/>
  <c r="C681" i="1"/>
  <c r="G522" i="1"/>
  <c r="G521" i="1"/>
  <c r="G520" i="1"/>
  <c r="A681" i="1" l="1"/>
  <c r="C682" i="1"/>
  <c r="B681" i="1"/>
  <c r="G519" i="1"/>
  <c r="C683" i="1" l="1"/>
  <c r="B682" i="1"/>
  <c r="A682" i="1"/>
  <c r="G518" i="1"/>
  <c r="C684" i="1" l="1"/>
  <c r="B683" i="1"/>
  <c r="A683" i="1"/>
  <c r="G517" i="1"/>
  <c r="C685" i="1" l="1"/>
  <c r="B684" i="1"/>
  <c r="A684" i="1"/>
  <c r="G516" i="1"/>
  <c r="A685" i="1" l="1"/>
  <c r="C686" i="1"/>
  <c r="B685" i="1"/>
  <c r="G515" i="1"/>
  <c r="C687" i="1" l="1"/>
  <c r="B686" i="1"/>
  <c r="A686" i="1"/>
  <c r="G514" i="1"/>
  <c r="C688" i="1" l="1"/>
  <c r="B687" i="1"/>
  <c r="A687" i="1"/>
  <c r="G513" i="1"/>
  <c r="B688" i="1" l="1"/>
  <c r="A688" i="1"/>
  <c r="C689" i="1"/>
  <c r="G512" i="1"/>
  <c r="A689" i="1" l="1"/>
  <c r="C690" i="1"/>
  <c r="B689" i="1"/>
  <c r="G511" i="1"/>
  <c r="C691" i="1" l="1"/>
  <c r="B690" i="1"/>
  <c r="A690" i="1"/>
  <c r="G510" i="1"/>
  <c r="C692" i="1" l="1"/>
  <c r="B691" i="1"/>
  <c r="A691" i="1"/>
  <c r="G509" i="1"/>
  <c r="C693" i="1" l="1"/>
  <c r="A692" i="1"/>
  <c r="B692" i="1"/>
  <c r="G508" i="1"/>
  <c r="A693" i="1" l="1"/>
  <c r="B693" i="1"/>
  <c r="C694" i="1"/>
  <c r="G507" i="1"/>
  <c r="C695" i="1" l="1"/>
  <c r="B694" i="1"/>
  <c r="A694" i="1"/>
  <c r="B19" i="2"/>
  <c r="A19" i="2" s="1"/>
  <c r="G506" i="1"/>
  <c r="C696" i="1" l="1"/>
  <c r="B695" i="1"/>
  <c r="A695" i="1"/>
  <c r="G505" i="1"/>
  <c r="B696" i="1" l="1"/>
  <c r="A696" i="1"/>
  <c r="C697" i="1"/>
  <c r="G504" i="1"/>
  <c r="A697" i="1" l="1"/>
  <c r="C698" i="1"/>
  <c r="B697" i="1"/>
  <c r="G503" i="1"/>
  <c r="C699" i="1" l="1"/>
  <c r="B698" i="1"/>
  <c r="A698" i="1"/>
  <c r="G502" i="1"/>
  <c r="C504" i="1"/>
  <c r="B504" i="1" s="1"/>
  <c r="A504" i="1"/>
  <c r="C700" i="1" l="1"/>
  <c r="B699" i="1"/>
  <c r="A699" i="1"/>
  <c r="C505" i="1"/>
  <c r="G501" i="1"/>
  <c r="G500" i="1"/>
  <c r="G499" i="1"/>
  <c r="G498" i="1"/>
  <c r="G497" i="1"/>
  <c r="C701" i="1" l="1"/>
  <c r="B700" i="1"/>
  <c r="A700" i="1"/>
  <c r="A505" i="1"/>
  <c r="C506" i="1"/>
  <c r="B505" i="1"/>
  <c r="G496" i="1"/>
  <c r="A701" i="1" l="1"/>
  <c r="C702" i="1"/>
  <c r="B701" i="1"/>
  <c r="C507" i="1"/>
  <c r="B506" i="1"/>
  <c r="A506" i="1"/>
  <c r="G495" i="1"/>
  <c r="C703" i="1" l="1"/>
  <c r="B702" i="1"/>
  <c r="A702" i="1"/>
  <c r="C508" i="1"/>
  <c r="A507" i="1"/>
  <c r="B507" i="1"/>
  <c r="G494" i="1"/>
  <c r="G493" i="1"/>
  <c r="G492" i="1"/>
  <c r="G491" i="1"/>
  <c r="C704" i="1" l="1"/>
  <c r="B703" i="1"/>
  <c r="A703" i="1"/>
  <c r="A508" i="1"/>
  <c r="C509" i="1"/>
  <c r="B508" i="1"/>
  <c r="G490" i="1"/>
  <c r="B704" i="1" l="1"/>
  <c r="A704" i="1"/>
  <c r="C705" i="1"/>
  <c r="C510" i="1"/>
  <c r="B509" i="1"/>
  <c r="A509" i="1"/>
  <c r="G489" i="1"/>
  <c r="A705" i="1" l="1"/>
  <c r="C706" i="1"/>
  <c r="B705" i="1"/>
  <c r="C511" i="1"/>
  <c r="B510" i="1"/>
  <c r="A510" i="1"/>
  <c r="G488" i="1"/>
  <c r="C707" i="1" l="1"/>
  <c r="B706" i="1"/>
  <c r="A706" i="1"/>
  <c r="B511" i="1"/>
  <c r="C512" i="1"/>
  <c r="A511" i="1"/>
  <c r="G487" i="1"/>
  <c r="C708" i="1" l="1"/>
  <c r="B707" i="1"/>
  <c r="A707" i="1"/>
  <c r="A512" i="1"/>
  <c r="B512" i="1"/>
  <c r="C513" i="1"/>
  <c r="G486" i="1"/>
  <c r="C709" i="1" l="1"/>
  <c r="A708" i="1"/>
  <c r="B708" i="1"/>
  <c r="C514" i="1"/>
  <c r="B513" i="1"/>
  <c r="A513" i="1"/>
  <c r="G485" i="1"/>
  <c r="A709" i="1" l="1"/>
  <c r="B709" i="1"/>
  <c r="C710" i="1"/>
  <c r="C515" i="1"/>
  <c r="B514" i="1"/>
  <c r="A514" i="1"/>
  <c r="G484" i="1"/>
  <c r="C711" i="1" l="1"/>
  <c r="B710" i="1"/>
  <c r="A710" i="1"/>
  <c r="C516" i="1"/>
  <c r="A515" i="1"/>
  <c r="B515" i="1"/>
  <c r="G483" i="1"/>
  <c r="C712" i="1" l="1"/>
  <c r="B711" i="1"/>
  <c r="A711" i="1"/>
  <c r="A516" i="1"/>
  <c r="B516" i="1"/>
  <c r="C517" i="1"/>
  <c r="G482" i="1"/>
  <c r="B712" i="1" l="1"/>
  <c r="A712" i="1"/>
  <c r="C713" i="1"/>
  <c r="C518" i="1"/>
  <c r="B517" i="1"/>
  <c r="A517" i="1"/>
  <c r="G479" i="1"/>
  <c r="G478" i="1"/>
  <c r="G477" i="1"/>
  <c r="G476" i="1"/>
  <c r="G480" i="1"/>
  <c r="G481" i="1"/>
  <c r="A713" i="1" l="1"/>
  <c r="B713" i="1"/>
  <c r="C714" i="1"/>
  <c r="B518" i="1"/>
  <c r="C519" i="1"/>
  <c r="A518" i="1"/>
  <c r="G475" i="1"/>
  <c r="C715" i="1" l="1"/>
  <c r="B714" i="1"/>
  <c r="A714" i="1"/>
  <c r="A519" i="1"/>
  <c r="B519" i="1"/>
  <c r="C520" i="1"/>
  <c r="G474" i="1"/>
  <c r="C716" i="1" l="1"/>
  <c r="B715" i="1"/>
  <c r="A715" i="1"/>
  <c r="A520" i="1"/>
  <c r="B520" i="1"/>
  <c r="C521" i="1"/>
  <c r="B18" i="2"/>
  <c r="A18" i="2"/>
  <c r="C717" i="1" l="1"/>
  <c r="B716" i="1"/>
  <c r="A716" i="1"/>
  <c r="C522" i="1"/>
  <c r="B521" i="1"/>
  <c r="A521" i="1"/>
  <c r="G473" i="1"/>
  <c r="G472" i="1"/>
  <c r="A717" i="1" l="1"/>
  <c r="C718" i="1"/>
  <c r="B717" i="1"/>
  <c r="C523" i="1"/>
  <c r="A522" i="1"/>
  <c r="B522" i="1"/>
  <c r="G471" i="1"/>
  <c r="G470" i="1"/>
  <c r="C719" i="1" l="1"/>
  <c r="B718" i="1"/>
  <c r="A718" i="1"/>
  <c r="B523" i="1"/>
  <c r="C524" i="1"/>
  <c r="A523" i="1"/>
  <c r="G469" i="1"/>
  <c r="C720" i="1" l="1"/>
  <c r="B719" i="1"/>
  <c r="A719" i="1"/>
  <c r="A524" i="1"/>
  <c r="C525" i="1"/>
  <c r="B524" i="1"/>
  <c r="G468" i="1"/>
  <c r="B720" i="1" l="1"/>
  <c r="A720" i="1"/>
  <c r="C721" i="1"/>
  <c r="C526" i="1"/>
  <c r="B525" i="1"/>
  <c r="A525" i="1"/>
  <c r="G467" i="1"/>
  <c r="A721" i="1" l="1"/>
  <c r="B721" i="1"/>
  <c r="C722" i="1"/>
  <c r="C527" i="1"/>
  <c r="B526" i="1"/>
  <c r="A526" i="1"/>
  <c r="G464" i="1"/>
  <c r="G466" i="1"/>
  <c r="G465" i="1"/>
  <c r="C723" i="1" l="1"/>
  <c r="B722" i="1"/>
  <c r="A722" i="1"/>
  <c r="B527" i="1"/>
  <c r="C528" i="1"/>
  <c r="A527" i="1"/>
  <c r="G459" i="1"/>
  <c r="G460" i="1"/>
  <c r="C724" i="1" l="1"/>
  <c r="B723" i="1"/>
  <c r="A723" i="1"/>
  <c r="A528" i="1"/>
  <c r="C529" i="1"/>
  <c r="B528" i="1"/>
  <c r="G458" i="1"/>
  <c r="C725" i="1" l="1"/>
  <c r="A724" i="1"/>
  <c r="B724" i="1"/>
  <c r="C530" i="1"/>
  <c r="B529" i="1"/>
  <c r="A529" i="1"/>
  <c r="G457" i="1"/>
  <c r="A725" i="1" l="1"/>
  <c r="C726" i="1"/>
  <c r="B725" i="1"/>
  <c r="B530" i="1"/>
  <c r="C531" i="1"/>
  <c r="A530" i="1"/>
  <c r="G450" i="1"/>
  <c r="C451" i="1"/>
  <c r="C452" i="1" s="1"/>
  <c r="A451" i="1"/>
  <c r="C727" i="1" l="1"/>
  <c r="B726" i="1"/>
  <c r="A726" i="1"/>
  <c r="C532" i="1"/>
  <c r="A531" i="1"/>
  <c r="B531" i="1"/>
  <c r="C453" i="1"/>
  <c r="B452" i="1"/>
  <c r="A452" i="1"/>
  <c r="B451" i="1"/>
  <c r="G449" i="1"/>
  <c r="C728" i="1" l="1"/>
  <c r="B727" i="1"/>
  <c r="A727" i="1"/>
  <c r="A532" i="1"/>
  <c r="B532" i="1"/>
  <c r="C533" i="1"/>
  <c r="A453" i="1"/>
  <c r="C454" i="1"/>
  <c r="B453" i="1"/>
  <c r="G448" i="1"/>
  <c r="B728" i="1" l="1"/>
  <c r="A728" i="1"/>
  <c r="C729" i="1"/>
  <c r="C534" i="1"/>
  <c r="B533" i="1"/>
  <c r="A533" i="1"/>
  <c r="C455" i="1"/>
  <c r="B454" i="1"/>
  <c r="A454" i="1"/>
  <c r="G447" i="1"/>
  <c r="A729" i="1" l="1"/>
  <c r="B729" i="1"/>
  <c r="C730" i="1"/>
  <c r="B534" i="1"/>
  <c r="C535" i="1"/>
  <c r="A534" i="1"/>
  <c r="C456" i="1"/>
  <c r="B455" i="1"/>
  <c r="A455" i="1"/>
  <c r="B17" i="2"/>
  <c r="A17" i="2" s="1"/>
  <c r="G446" i="1"/>
  <c r="C731" i="1" l="1"/>
  <c r="B730" i="1"/>
  <c r="A730" i="1"/>
  <c r="A535" i="1"/>
  <c r="C536" i="1"/>
  <c r="B535" i="1"/>
  <c r="B456" i="1"/>
  <c r="C457" i="1"/>
  <c r="A456" i="1"/>
  <c r="G445" i="1"/>
  <c r="G444" i="1"/>
  <c r="C732" i="1" l="1"/>
  <c r="B731" i="1"/>
  <c r="A731" i="1"/>
  <c r="A536" i="1"/>
  <c r="B536" i="1"/>
  <c r="C537" i="1"/>
  <c r="A457" i="1"/>
  <c r="C458" i="1"/>
  <c r="B457" i="1"/>
  <c r="G443" i="1"/>
  <c r="C733" i="1" l="1"/>
  <c r="A732" i="1"/>
  <c r="B732" i="1"/>
  <c r="C538" i="1"/>
  <c r="B537" i="1"/>
  <c r="A537" i="1"/>
  <c r="C459" i="1"/>
  <c r="B458" i="1"/>
  <c r="A458" i="1"/>
  <c r="G442" i="1"/>
  <c r="A733" i="1" l="1"/>
  <c r="B733" i="1"/>
  <c r="C734" i="1"/>
  <c r="C539" i="1"/>
  <c r="A538" i="1"/>
  <c r="B538" i="1"/>
  <c r="A459" i="1"/>
  <c r="C460" i="1"/>
  <c r="B459" i="1"/>
  <c r="G441" i="1"/>
  <c r="C735" i="1" l="1"/>
  <c r="B734" i="1"/>
  <c r="A734" i="1"/>
  <c r="B539" i="1"/>
  <c r="C540" i="1"/>
  <c r="A539" i="1"/>
  <c r="C461" i="1"/>
  <c r="B460" i="1"/>
  <c r="A460" i="1"/>
  <c r="G440" i="1"/>
  <c r="B735" i="1" l="1"/>
  <c r="C736" i="1"/>
  <c r="A735" i="1"/>
  <c r="A540" i="1"/>
  <c r="C541" i="1"/>
  <c r="B540" i="1"/>
  <c r="A461" i="1"/>
  <c r="C462" i="1"/>
  <c r="B461" i="1"/>
  <c r="G439" i="1"/>
  <c r="C737" i="1" l="1"/>
  <c r="A736" i="1"/>
  <c r="B736" i="1"/>
  <c r="C542" i="1"/>
  <c r="B541" i="1"/>
  <c r="A541" i="1"/>
  <c r="C463" i="1"/>
  <c r="B462" i="1"/>
  <c r="A462" i="1"/>
  <c r="G438" i="1"/>
  <c r="G437" i="1"/>
  <c r="C738" i="1" l="1"/>
  <c r="B737" i="1"/>
  <c r="A737" i="1"/>
  <c r="A542" i="1"/>
  <c r="B542" i="1"/>
  <c r="C543" i="1"/>
  <c r="C464" i="1"/>
  <c r="B463" i="1"/>
  <c r="A463" i="1"/>
  <c r="G436" i="1"/>
  <c r="C739" i="1" l="1"/>
  <c r="B738" i="1"/>
  <c r="A738" i="1"/>
  <c r="B543" i="1"/>
  <c r="C544" i="1"/>
  <c r="A543" i="1"/>
  <c r="B464" i="1"/>
  <c r="C465" i="1"/>
  <c r="A464" i="1"/>
  <c r="C437" i="1"/>
  <c r="C438" i="1" s="1"/>
  <c r="C436" i="1"/>
  <c r="A436" i="1" s="1"/>
  <c r="B436" i="1"/>
  <c r="A739" i="1" l="1"/>
  <c r="C740" i="1"/>
  <c r="B739" i="1"/>
  <c r="A544" i="1"/>
  <c r="C545" i="1"/>
  <c r="B544" i="1"/>
  <c r="A465" i="1"/>
  <c r="B465" i="1"/>
  <c r="C466" i="1"/>
  <c r="A438" i="1"/>
  <c r="C439" i="1"/>
  <c r="B438" i="1"/>
  <c r="A437" i="1"/>
  <c r="B437" i="1"/>
  <c r="C741" i="1" l="1"/>
  <c r="B740" i="1"/>
  <c r="A740" i="1"/>
  <c r="C546" i="1"/>
  <c r="B545" i="1"/>
  <c r="A545" i="1"/>
  <c r="C467" i="1"/>
  <c r="B466" i="1"/>
  <c r="A466" i="1"/>
  <c r="C440" i="1"/>
  <c r="B439" i="1"/>
  <c r="A439" i="1"/>
  <c r="G435" i="1"/>
  <c r="G434" i="1"/>
  <c r="G433" i="1"/>
  <c r="G432" i="1"/>
  <c r="G431" i="1"/>
  <c r="G430" i="1"/>
  <c r="G429" i="1"/>
  <c r="G428" i="1"/>
  <c r="G427" i="1"/>
  <c r="G426" i="1"/>
  <c r="G425" i="1"/>
  <c r="G424" i="1"/>
  <c r="G423" i="1"/>
  <c r="G422" i="1"/>
  <c r="G421" i="1"/>
  <c r="G420" i="1"/>
  <c r="G419" i="1"/>
  <c r="G418" i="1"/>
  <c r="G417" i="1"/>
  <c r="G416" i="1"/>
  <c r="G415" i="1"/>
  <c r="C742" i="1" l="1"/>
  <c r="B741" i="1"/>
  <c r="A741" i="1"/>
  <c r="B546" i="1"/>
  <c r="C547" i="1"/>
  <c r="A546" i="1"/>
  <c r="A467" i="1"/>
  <c r="C468" i="1"/>
  <c r="B467" i="1"/>
  <c r="A440" i="1"/>
  <c r="C441" i="1"/>
  <c r="B440" i="1"/>
  <c r="G414" i="1"/>
  <c r="C743" i="1" l="1"/>
  <c r="B742" i="1"/>
  <c r="A742" i="1"/>
  <c r="C548" i="1"/>
  <c r="A547" i="1"/>
  <c r="B547" i="1"/>
  <c r="C469" i="1"/>
  <c r="B468" i="1"/>
  <c r="A468" i="1"/>
  <c r="C442" i="1"/>
  <c r="B441" i="1"/>
  <c r="A441" i="1"/>
  <c r="G413" i="1"/>
  <c r="G412" i="1"/>
  <c r="A743" i="1" l="1"/>
  <c r="C744" i="1"/>
  <c r="B743" i="1"/>
  <c r="A548" i="1"/>
  <c r="B548" i="1"/>
  <c r="C549" i="1"/>
  <c r="A469" i="1"/>
  <c r="C470" i="1"/>
  <c r="B469" i="1"/>
  <c r="A442" i="1"/>
  <c r="C443" i="1"/>
  <c r="B442" i="1"/>
  <c r="G411" i="1"/>
  <c r="C745" i="1" l="1"/>
  <c r="B744" i="1"/>
  <c r="A744" i="1"/>
  <c r="C550" i="1"/>
  <c r="B549" i="1"/>
  <c r="A549" i="1"/>
  <c r="C471" i="1"/>
  <c r="B470" i="1"/>
  <c r="A470" i="1"/>
  <c r="B443" i="1"/>
  <c r="C444" i="1"/>
  <c r="A443" i="1"/>
  <c r="G410" i="1"/>
  <c r="C746" i="1" l="1"/>
  <c r="B745" i="1"/>
  <c r="A745" i="1"/>
  <c r="B550" i="1"/>
  <c r="C551" i="1"/>
  <c r="A550" i="1"/>
  <c r="C472" i="1"/>
  <c r="B471" i="1"/>
  <c r="A471" i="1"/>
  <c r="A444" i="1"/>
  <c r="B444" i="1"/>
  <c r="C445" i="1"/>
  <c r="G409" i="1"/>
  <c r="C747" i="1" l="1"/>
  <c r="B746" i="1"/>
  <c r="A746" i="1"/>
  <c r="C552" i="1"/>
  <c r="A551" i="1"/>
  <c r="B551" i="1"/>
  <c r="B472" i="1"/>
  <c r="C473" i="1"/>
  <c r="A472" i="1"/>
  <c r="C446" i="1"/>
  <c r="B445" i="1"/>
  <c r="A445" i="1"/>
  <c r="G408" i="1"/>
  <c r="A747" i="1" l="1"/>
  <c r="C748" i="1"/>
  <c r="B747" i="1"/>
  <c r="A552" i="1"/>
  <c r="B552" i="1"/>
  <c r="C553" i="1"/>
  <c r="A473" i="1"/>
  <c r="C474" i="1"/>
  <c r="B473" i="1"/>
  <c r="C447" i="1"/>
  <c r="B446" i="1"/>
  <c r="A446" i="1"/>
  <c r="G407" i="1"/>
  <c r="G406" i="1"/>
  <c r="C749" i="1" l="1"/>
  <c r="B748" i="1"/>
  <c r="A748" i="1"/>
  <c r="C554" i="1"/>
  <c r="B553" i="1"/>
  <c r="A553" i="1"/>
  <c r="C475" i="1"/>
  <c r="B474" i="1"/>
  <c r="A474" i="1"/>
  <c r="C448" i="1"/>
  <c r="B447" i="1"/>
  <c r="A447" i="1"/>
  <c r="G405" i="1"/>
  <c r="C750" i="1" l="1"/>
  <c r="B749" i="1"/>
  <c r="A749" i="1"/>
  <c r="C555" i="1"/>
  <c r="A554" i="1"/>
  <c r="B554" i="1"/>
  <c r="A475" i="1"/>
  <c r="C476" i="1"/>
  <c r="B475" i="1"/>
  <c r="A448" i="1"/>
  <c r="B448" i="1"/>
  <c r="C449" i="1"/>
  <c r="G404" i="1"/>
  <c r="C751" i="1" l="1"/>
  <c r="B750" i="1"/>
  <c r="A750" i="1"/>
  <c r="B555" i="1"/>
  <c r="C556" i="1"/>
  <c r="A555" i="1"/>
  <c r="C477" i="1"/>
  <c r="B476" i="1"/>
  <c r="A476" i="1"/>
  <c r="C450" i="1"/>
  <c r="B449" i="1"/>
  <c r="A449" i="1"/>
  <c r="G403" i="1"/>
  <c r="A751" i="1" l="1"/>
  <c r="B751" i="1"/>
  <c r="C752" i="1"/>
  <c r="A556" i="1"/>
  <c r="C557" i="1"/>
  <c r="B556" i="1"/>
  <c r="A477" i="1"/>
  <c r="C478" i="1"/>
  <c r="B477" i="1"/>
  <c r="B450" i="1"/>
  <c r="A450" i="1"/>
  <c r="G402" i="1"/>
  <c r="C753" i="1" l="1"/>
  <c r="B752" i="1"/>
  <c r="A752" i="1"/>
  <c r="C558" i="1"/>
  <c r="B557" i="1"/>
  <c r="A557" i="1"/>
  <c r="C479" i="1"/>
  <c r="B478" i="1"/>
  <c r="A478" i="1"/>
  <c r="G401" i="1"/>
  <c r="C754" i="1" l="1"/>
  <c r="B753" i="1"/>
  <c r="A753" i="1"/>
  <c r="A558" i="1"/>
  <c r="B558" i="1"/>
  <c r="C559" i="1"/>
  <c r="C480" i="1"/>
  <c r="B479" i="1"/>
  <c r="A479" i="1"/>
  <c r="G400" i="1"/>
  <c r="C755" i="1" l="1"/>
  <c r="B754" i="1"/>
  <c r="A754" i="1"/>
  <c r="B559" i="1"/>
  <c r="C560" i="1"/>
  <c r="A559" i="1"/>
  <c r="B480" i="1"/>
  <c r="C481" i="1"/>
  <c r="A480" i="1"/>
  <c r="G399" i="1"/>
  <c r="A755" i="1" l="1"/>
  <c r="C756" i="1"/>
  <c r="B755" i="1"/>
  <c r="A560" i="1"/>
  <c r="C561" i="1"/>
  <c r="B560" i="1"/>
  <c r="A481" i="1"/>
  <c r="C482" i="1"/>
  <c r="B481" i="1"/>
  <c r="G398" i="1"/>
  <c r="C757" i="1" l="1"/>
  <c r="B756" i="1"/>
  <c r="A756" i="1"/>
  <c r="C562" i="1"/>
  <c r="B561" i="1"/>
  <c r="A561" i="1"/>
  <c r="C483" i="1"/>
  <c r="B482" i="1"/>
  <c r="A482" i="1"/>
  <c r="G397" i="1"/>
  <c r="C758" i="1" l="1"/>
  <c r="B757" i="1"/>
  <c r="A757" i="1"/>
  <c r="B562" i="1"/>
  <c r="C563" i="1"/>
  <c r="A562" i="1"/>
  <c r="A483" i="1"/>
  <c r="C484" i="1"/>
  <c r="B483" i="1"/>
  <c r="G396" i="1"/>
  <c r="C759" i="1" l="1"/>
  <c r="B758" i="1"/>
  <c r="A758" i="1"/>
  <c r="C564" i="1"/>
  <c r="A563" i="1"/>
  <c r="B563" i="1"/>
  <c r="C485" i="1"/>
  <c r="B484" i="1"/>
  <c r="A484" i="1"/>
  <c r="G395" i="1"/>
  <c r="A759" i="1" l="1"/>
  <c r="C760" i="1"/>
  <c r="B759" i="1"/>
  <c r="A564" i="1"/>
  <c r="B564" i="1"/>
  <c r="C565" i="1"/>
  <c r="A485" i="1"/>
  <c r="C486" i="1"/>
  <c r="B485" i="1"/>
  <c r="G394" i="1"/>
  <c r="C761" i="1" l="1"/>
  <c r="B760" i="1"/>
  <c r="A760" i="1"/>
  <c r="C566" i="1"/>
  <c r="B565" i="1"/>
  <c r="A565" i="1"/>
  <c r="C487" i="1"/>
  <c r="B486" i="1"/>
  <c r="A486" i="1"/>
  <c r="G393" i="1"/>
  <c r="C762" i="1" l="1"/>
  <c r="B761" i="1"/>
  <c r="A761" i="1"/>
  <c r="B566" i="1"/>
  <c r="C567" i="1"/>
  <c r="A566" i="1"/>
  <c r="A487" i="1"/>
  <c r="C488" i="1"/>
  <c r="B487" i="1"/>
  <c r="G392" i="1"/>
  <c r="C763" i="1" l="1"/>
  <c r="B762" i="1"/>
  <c r="A762" i="1"/>
  <c r="C568" i="1"/>
  <c r="A567" i="1"/>
  <c r="B567" i="1"/>
  <c r="C489" i="1"/>
  <c r="B488" i="1"/>
  <c r="A488" i="1"/>
  <c r="G391" i="1"/>
  <c r="A763" i="1" l="1"/>
  <c r="B763" i="1"/>
  <c r="C764" i="1"/>
  <c r="A568" i="1"/>
  <c r="B568" i="1"/>
  <c r="C569" i="1"/>
  <c r="A489" i="1"/>
  <c r="C490" i="1"/>
  <c r="B489" i="1"/>
  <c r="G390" i="1"/>
  <c r="C765" i="1" l="1"/>
  <c r="B764" i="1"/>
  <c r="A764" i="1"/>
  <c r="C570" i="1"/>
  <c r="B569" i="1"/>
  <c r="A569" i="1"/>
  <c r="C491" i="1"/>
  <c r="B490" i="1"/>
  <c r="A490" i="1"/>
  <c r="G389" i="1"/>
  <c r="C766" i="1" l="1"/>
  <c r="B765" i="1"/>
  <c r="A765" i="1"/>
  <c r="C571" i="1"/>
  <c r="A570" i="1"/>
  <c r="B570" i="1"/>
  <c r="C492" i="1"/>
  <c r="B491" i="1"/>
  <c r="A491" i="1"/>
  <c r="G388" i="1"/>
  <c r="G386" i="1"/>
  <c r="C767" i="1" l="1"/>
  <c r="B766" i="1"/>
  <c r="A766" i="1"/>
  <c r="B571" i="1"/>
  <c r="C572" i="1"/>
  <c r="A571" i="1"/>
  <c r="C493" i="1"/>
  <c r="B492" i="1"/>
  <c r="A492" i="1"/>
  <c r="G385" i="1"/>
  <c r="A767" i="1" l="1"/>
  <c r="B767" i="1"/>
  <c r="C768" i="1"/>
  <c r="A572" i="1"/>
  <c r="C573" i="1"/>
  <c r="B572" i="1"/>
  <c r="A493" i="1"/>
  <c r="C494" i="1"/>
  <c r="B493" i="1"/>
  <c r="G384" i="1"/>
  <c r="C769" i="1" l="1"/>
  <c r="B768" i="1"/>
  <c r="A768" i="1"/>
  <c r="C574" i="1"/>
  <c r="B573" i="1"/>
  <c r="A573" i="1"/>
  <c r="C495" i="1"/>
  <c r="B494" i="1"/>
  <c r="A494" i="1"/>
  <c r="G383" i="1"/>
  <c r="C770" i="1" l="1"/>
  <c r="B769" i="1"/>
  <c r="A769" i="1"/>
  <c r="C575" i="1"/>
  <c r="A574" i="1"/>
  <c r="B574" i="1"/>
  <c r="A495" i="1"/>
  <c r="C496" i="1"/>
  <c r="B495" i="1"/>
  <c r="G382" i="1"/>
  <c r="G381" i="1"/>
  <c r="C771" i="1" l="1"/>
  <c r="B770" i="1"/>
  <c r="A770" i="1"/>
  <c r="C576" i="1"/>
  <c r="B575" i="1"/>
  <c r="A575" i="1"/>
  <c r="C497" i="1"/>
  <c r="B496" i="1"/>
  <c r="A496" i="1"/>
  <c r="G380" i="1"/>
  <c r="A771" i="1" l="1"/>
  <c r="C772" i="1"/>
  <c r="B771" i="1"/>
  <c r="C577" i="1"/>
  <c r="B576" i="1"/>
  <c r="A576" i="1"/>
  <c r="A497" i="1"/>
  <c r="C498" i="1"/>
  <c r="B497" i="1"/>
  <c r="G379" i="1"/>
  <c r="C773" i="1" l="1"/>
  <c r="B772" i="1"/>
  <c r="A772" i="1"/>
  <c r="C578" i="1"/>
  <c r="B577" i="1"/>
  <c r="A577" i="1"/>
  <c r="C499" i="1"/>
  <c r="B498" i="1"/>
  <c r="A498" i="1"/>
  <c r="G378" i="1"/>
  <c r="C774" i="1" l="1"/>
  <c r="B773" i="1"/>
  <c r="A773" i="1"/>
  <c r="A578" i="1"/>
  <c r="C579" i="1"/>
  <c r="B578" i="1"/>
  <c r="C500" i="1"/>
  <c r="B499" i="1"/>
  <c r="A499" i="1"/>
  <c r="G377" i="1"/>
  <c r="G375" i="1"/>
  <c r="G376" i="1"/>
  <c r="C775" i="1" l="1"/>
  <c r="B774" i="1"/>
  <c r="A774" i="1"/>
  <c r="C580" i="1"/>
  <c r="B579" i="1"/>
  <c r="A579" i="1"/>
  <c r="C501" i="1"/>
  <c r="B500" i="1"/>
  <c r="A500" i="1"/>
  <c r="B14" i="3"/>
  <c r="B15" i="3" s="1"/>
  <c r="A14" i="3"/>
  <c r="B14" i="2"/>
  <c r="A14" i="2" s="1"/>
  <c r="A775" i="1" l="1"/>
  <c r="C776" i="1"/>
  <c r="B775" i="1"/>
  <c r="C581" i="1"/>
  <c r="B580" i="1"/>
  <c r="A580" i="1"/>
  <c r="A501" i="1"/>
  <c r="C502" i="1"/>
  <c r="B501" i="1"/>
  <c r="A15" i="3"/>
  <c r="B16" i="3"/>
  <c r="A16" i="3" s="1"/>
  <c r="B15" i="2"/>
  <c r="A15" i="2"/>
  <c r="B16" i="2"/>
  <c r="C777" i="1" l="1"/>
  <c r="B776" i="1"/>
  <c r="A776" i="1"/>
  <c r="C582" i="1"/>
  <c r="B581" i="1"/>
  <c r="A581" i="1"/>
  <c r="C503" i="1"/>
  <c r="B502" i="1"/>
  <c r="A502" i="1"/>
  <c r="A16" i="2"/>
  <c r="C778" i="1" l="1"/>
  <c r="B777" i="1"/>
  <c r="A777" i="1"/>
  <c r="A582" i="1"/>
  <c r="B582" i="1"/>
  <c r="C583" i="1"/>
  <c r="B503" i="1"/>
  <c r="A503" i="1"/>
  <c r="A2" i="1"/>
  <c r="B2" i="1"/>
  <c r="C3" i="1"/>
  <c r="A3" i="1" s="1"/>
  <c r="C4" i="1"/>
  <c r="A4" i="1" s="1"/>
  <c r="A5" i="1"/>
  <c r="A6" i="1"/>
  <c r="A7" i="1"/>
  <c r="C8" i="1"/>
  <c r="A8" i="1" s="1"/>
  <c r="B5" i="1"/>
  <c r="B6" i="1"/>
  <c r="B7" i="1"/>
  <c r="C779" i="1" l="1"/>
  <c r="B778" i="1"/>
  <c r="A778" i="1"/>
  <c r="C584" i="1"/>
  <c r="B583" i="1"/>
  <c r="A583" i="1"/>
  <c r="B3" i="1"/>
  <c r="B8" i="1"/>
  <c r="C9" i="1"/>
  <c r="B9" i="1"/>
  <c r="B4" i="1"/>
  <c r="A779" i="1" l="1"/>
  <c r="C780" i="1"/>
  <c r="B779" i="1"/>
  <c r="C585" i="1"/>
  <c r="B584" i="1"/>
  <c r="A584" i="1"/>
  <c r="C10" i="1"/>
  <c r="A9" i="1"/>
  <c r="C781" i="1" l="1"/>
  <c r="B780" i="1"/>
  <c r="A780" i="1"/>
  <c r="C586" i="1"/>
  <c r="B585" i="1"/>
  <c r="A585" i="1"/>
  <c r="A10" i="1"/>
  <c r="C11" i="1"/>
  <c r="B10" i="1"/>
  <c r="C782" i="1" l="1"/>
  <c r="B781" i="1"/>
  <c r="A781" i="1"/>
  <c r="A586" i="1"/>
  <c r="C587" i="1"/>
  <c r="B586" i="1"/>
  <c r="B11" i="1"/>
  <c r="C12" i="1"/>
  <c r="A11" i="1"/>
  <c r="C783" i="1" l="1"/>
  <c r="B782" i="1"/>
  <c r="A782" i="1"/>
  <c r="C588" i="1"/>
  <c r="B587" i="1"/>
  <c r="A587" i="1"/>
  <c r="A12" i="1"/>
  <c r="B12" i="1"/>
  <c r="C13" i="1"/>
  <c r="A783" i="1" l="1"/>
  <c r="B783" i="1"/>
  <c r="C784" i="1"/>
  <c r="C589" i="1"/>
  <c r="B588" i="1"/>
  <c r="A588" i="1"/>
  <c r="B13" i="1"/>
  <c r="A13" i="1"/>
  <c r="C14" i="1"/>
  <c r="C785" i="1" l="1"/>
  <c r="B784" i="1"/>
  <c r="A784" i="1"/>
  <c r="C590" i="1"/>
  <c r="B589" i="1"/>
  <c r="A589" i="1"/>
  <c r="B14" i="1"/>
  <c r="A14" i="1"/>
  <c r="C15" i="1"/>
  <c r="C786" i="1" l="1"/>
  <c r="B785" i="1"/>
  <c r="A785" i="1"/>
  <c r="A590" i="1"/>
  <c r="C591" i="1"/>
  <c r="B590" i="1"/>
  <c r="A15" i="1"/>
  <c r="B15" i="1"/>
  <c r="C16" i="1"/>
  <c r="C787" i="1" l="1"/>
  <c r="B786" i="1"/>
  <c r="A786" i="1"/>
  <c r="C592" i="1"/>
  <c r="B591" i="1"/>
  <c r="A591" i="1"/>
  <c r="A16" i="1"/>
  <c r="C17" i="1"/>
  <c r="B16" i="1"/>
  <c r="A787" i="1" l="1"/>
  <c r="C788" i="1"/>
  <c r="B787" i="1"/>
  <c r="C593" i="1"/>
  <c r="B592" i="1"/>
  <c r="A592" i="1"/>
  <c r="A17" i="1"/>
  <c r="B17" i="1"/>
  <c r="C18" i="1"/>
  <c r="C789" i="1" l="1"/>
  <c r="B788" i="1"/>
  <c r="A788" i="1"/>
  <c r="C594" i="1"/>
  <c r="B593" i="1"/>
  <c r="A593" i="1"/>
  <c r="A18" i="1"/>
  <c r="C19" i="1"/>
  <c r="B18" i="1"/>
  <c r="C790" i="1" l="1"/>
  <c r="B789" i="1"/>
  <c r="A789" i="1"/>
  <c r="A594" i="1"/>
  <c r="B594" i="1"/>
  <c r="C595" i="1"/>
  <c r="A19" i="1"/>
  <c r="B19" i="1"/>
  <c r="C20" i="1"/>
  <c r="C791" i="1" l="1"/>
  <c r="B790" i="1"/>
  <c r="A790" i="1"/>
  <c r="C596" i="1"/>
  <c r="B595" i="1"/>
  <c r="A595" i="1"/>
  <c r="A20" i="1"/>
  <c r="C21" i="1"/>
  <c r="B20" i="1"/>
  <c r="C792" i="1" l="1"/>
  <c r="A791" i="1"/>
  <c r="B791" i="1"/>
  <c r="C597" i="1"/>
  <c r="B596" i="1"/>
  <c r="A596" i="1"/>
  <c r="A21" i="1"/>
  <c r="B21" i="1"/>
  <c r="C22" i="1"/>
  <c r="B792" i="1" l="1"/>
  <c r="A792" i="1"/>
  <c r="C793" i="1"/>
  <c r="C598" i="1"/>
  <c r="B597" i="1"/>
  <c r="A597" i="1"/>
  <c r="A22" i="1"/>
  <c r="B22" i="1"/>
  <c r="C23" i="1"/>
  <c r="C794" i="1" l="1"/>
  <c r="B793" i="1"/>
  <c r="A793" i="1"/>
  <c r="A598" i="1"/>
  <c r="B598" i="1"/>
  <c r="C599" i="1"/>
  <c r="C185" i="1"/>
  <c r="B184" i="1"/>
  <c r="A184" i="1"/>
  <c r="A23" i="1"/>
  <c r="B23" i="1"/>
  <c r="C24" i="1"/>
  <c r="A794" i="1" l="1"/>
  <c r="B794" i="1"/>
  <c r="C795" i="1"/>
  <c r="C600" i="1"/>
  <c r="B599" i="1"/>
  <c r="A599" i="1"/>
  <c r="C186" i="1"/>
  <c r="B185" i="1"/>
  <c r="A185" i="1"/>
  <c r="A24" i="1"/>
  <c r="C25" i="1"/>
  <c r="B24" i="1"/>
  <c r="C796" i="1" l="1"/>
  <c r="B795" i="1"/>
  <c r="A795" i="1"/>
  <c r="C601" i="1"/>
  <c r="B600" i="1"/>
  <c r="A600" i="1"/>
  <c r="C187" i="1"/>
  <c r="B186" i="1"/>
  <c r="A186" i="1"/>
  <c r="B25" i="1"/>
  <c r="A25" i="1"/>
  <c r="C26" i="1"/>
  <c r="A796" i="1" l="1"/>
  <c r="C797" i="1"/>
  <c r="B796" i="1"/>
  <c r="C602" i="1"/>
  <c r="B601" i="1"/>
  <c r="A601" i="1"/>
  <c r="A187" i="1"/>
  <c r="C188" i="1"/>
  <c r="B187" i="1"/>
  <c r="A26" i="1"/>
  <c r="C27" i="1"/>
  <c r="B26" i="1"/>
  <c r="C798" i="1" l="1"/>
  <c r="B797" i="1"/>
  <c r="A797" i="1"/>
  <c r="A602" i="1"/>
  <c r="C603" i="1"/>
  <c r="B602" i="1"/>
  <c r="C189" i="1"/>
  <c r="B188" i="1"/>
  <c r="A188" i="1"/>
  <c r="A27" i="1"/>
  <c r="B27" i="1"/>
  <c r="C28" i="1"/>
  <c r="A798" i="1" l="1"/>
  <c r="C799" i="1"/>
  <c r="B798" i="1"/>
  <c r="C604" i="1"/>
  <c r="B603" i="1"/>
  <c r="A603" i="1"/>
  <c r="C190" i="1"/>
  <c r="B189" i="1"/>
  <c r="A189" i="1"/>
  <c r="C29" i="1"/>
  <c r="B28" i="1"/>
  <c r="A28" i="1"/>
  <c r="C800" i="1" l="1"/>
  <c r="B799" i="1"/>
  <c r="A799" i="1"/>
  <c r="C605" i="1"/>
  <c r="B604" i="1"/>
  <c r="A604" i="1"/>
  <c r="C191" i="1"/>
  <c r="B190" i="1"/>
  <c r="A190" i="1"/>
  <c r="A29" i="1"/>
  <c r="B29" i="1"/>
  <c r="C30" i="1"/>
  <c r="A800" i="1" l="1"/>
  <c r="B800" i="1"/>
  <c r="C801" i="1"/>
  <c r="C606" i="1"/>
  <c r="B605" i="1"/>
  <c r="A605" i="1"/>
  <c r="A191" i="1"/>
  <c r="C192" i="1"/>
  <c r="B191" i="1"/>
  <c r="C31" i="1"/>
  <c r="B30" i="1"/>
  <c r="A30" i="1"/>
  <c r="C802" i="1" l="1"/>
  <c r="B801" i="1"/>
  <c r="A801" i="1"/>
  <c r="A606" i="1"/>
  <c r="C607" i="1"/>
  <c r="B606" i="1"/>
  <c r="C193" i="1"/>
  <c r="C194" i="1" s="1"/>
  <c r="B192" i="1"/>
  <c r="A192" i="1"/>
  <c r="A31" i="1"/>
  <c r="C32" i="1"/>
  <c r="B31" i="1"/>
  <c r="A802" i="1" l="1"/>
  <c r="B802" i="1"/>
  <c r="C803" i="1"/>
  <c r="C608" i="1"/>
  <c r="B607" i="1"/>
  <c r="A607" i="1"/>
  <c r="A194" i="1"/>
  <c r="B194" i="1"/>
  <c r="C195" i="1"/>
  <c r="B193" i="1"/>
  <c r="A193" i="1"/>
  <c r="A32" i="1"/>
  <c r="C33" i="1"/>
  <c r="B32" i="1"/>
  <c r="C804" i="1" l="1"/>
  <c r="B803" i="1"/>
  <c r="A803" i="1"/>
  <c r="C609" i="1"/>
  <c r="B608" i="1"/>
  <c r="A608" i="1"/>
  <c r="A195" i="1"/>
  <c r="C196" i="1"/>
  <c r="B195" i="1"/>
  <c r="B33" i="1"/>
  <c r="C34" i="1"/>
  <c r="A33" i="1"/>
  <c r="A804" i="1" l="1"/>
  <c r="C805" i="1"/>
  <c r="B804" i="1"/>
  <c r="C610" i="1"/>
  <c r="B609" i="1"/>
  <c r="A609" i="1"/>
  <c r="A196" i="1"/>
  <c r="C197" i="1"/>
  <c r="B196" i="1"/>
  <c r="A34" i="1"/>
  <c r="C35" i="1"/>
  <c r="B34" i="1"/>
  <c r="C806" i="1" l="1"/>
  <c r="B805" i="1"/>
  <c r="A805" i="1"/>
  <c r="A610" i="1"/>
  <c r="C611" i="1"/>
  <c r="B610" i="1"/>
  <c r="A197" i="1"/>
  <c r="C198" i="1"/>
  <c r="B197" i="1"/>
  <c r="A35" i="1"/>
  <c r="B35" i="1"/>
  <c r="C36" i="1"/>
  <c r="A806" i="1" l="1"/>
  <c r="C807" i="1"/>
  <c r="B806" i="1"/>
  <c r="C612" i="1"/>
  <c r="B611" i="1"/>
  <c r="A611" i="1"/>
  <c r="A198" i="1"/>
  <c r="B198" i="1"/>
  <c r="C199" i="1"/>
  <c r="A36" i="1"/>
  <c r="C37" i="1"/>
  <c r="B36" i="1"/>
  <c r="C808" i="1" l="1"/>
  <c r="B807" i="1"/>
  <c r="A807" i="1"/>
  <c r="C613" i="1"/>
  <c r="B612" i="1"/>
  <c r="A612" i="1"/>
  <c r="A199" i="1"/>
  <c r="C200" i="1"/>
  <c r="B199" i="1"/>
  <c r="B37" i="1"/>
  <c r="A37" i="1"/>
  <c r="C38" i="1"/>
  <c r="A808" i="1" l="1"/>
  <c r="B808" i="1"/>
  <c r="C809" i="1"/>
  <c r="C614" i="1"/>
  <c r="B613" i="1"/>
  <c r="A613" i="1"/>
  <c r="A200" i="1"/>
  <c r="B200" i="1"/>
  <c r="C201" i="1"/>
  <c r="B38" i="1"/>
  <c r="A38" i="1"/>
  <c r="C39" i="1"/>
  <c r="C810" i="1" l="1"/>
  <c r="B809" i="1"/>
  <c r="A809" i="1"/>
  <c r="A614" i="1"/>
  <c r="B614" i="1"/>
  <c r="C615" i="1"/>
  <c r="B201" i="1"/>
  <c r="A201" i="1"/>
  <c r="C202" i="1"/>
  <c r="A39" i="1"/>
  <c r="B39" i="1"/>
  <c r="C40" i="1"/>
  <c r="A810" i="1" l="1"/>
  <c r="B810" i="1"/>
  <c r="C811" i="1"/>
  <c r="C616" i="1"/>
  <c r="B615" i="1"/>
  <c r="A615" i="1"/>
  <c r="C203" i="1"/>
  <c r="B202" i="1"/>
  <c r="A202" i="1"/>
  <c r="A40" i="1"/>
  <c r="C41" i="1"/>
  <c r="B40" i="1"/>
  <c r="C812" i="1" l="1"/>
  <c r="B811" i="1"/>
  <c r="A811" i="1"/>
  <c r="C617" i="1"/>
  <c r="B616" i="1"/>
  <c r="A616" i="1"/>
  <c r="C204" i="1"/>
  <c r="B203" i="1"/>
  <c r="A203" i="1"/>
  <c r="A41" i="1"/>
  <c r="C42" i="1"/>
  <c r="B41" i="1"/>
  <c r="A812" i="1" l="1"/>
  <c r="C813" i="1"/>
  <c r="B812" i="1"/>
  <c r="C618" i="1"/>
  <c r="B617" i="1"/>
  <c r="A617" i="1"/>
  <c r="C205" i="1"/>
  <c r="B204" i="1"/>
  <c r="A204" i="1"/>
  <c r="A42" i="1"/>
  <c r="C43" i="1"/>
  <c r="B42" i="1"/>
  <c r="C814" i="1" l="1"/>
  <c r="B813" i="1"/>
  <c r="A813" i="1"/>
  <c r="A618" i="1"/>
  <c r="C619" i="1"/>
  <c r="B618" i="1"/>
  <c r="C206" i="1"/>
  <c r="B205" i="1"/>
  <c r="A205" i="1"/>
  <c r="A43" i="1"/>
  <c r="C44" i="1"/>
  <c r="B43" i="1"/>
  <c r="A814" i="1" l="1"/>
  <c r="C815" i="1"/>
  <c r="B814" i="1"/>
  <c r="C620" i="1"/>
  <c r="B619" i="1"/>
  <c r="A619" i="1"/>
  <c r="A206" i="1"/>
  <c r="B206" i="1"/>
  <c r="C207" i="1"/>
  <c r="A44" i="1"/>
  <c r="C45" i="1"/>
  <c r="B44" i="1"/>
  <c r="C816" i="1" l="1"/>
  <c r="B815" i="1"/>
  <c r="A815" i="1"/>
  <c r="B620" i="1"/>
  <c r="A620" i="1"/>
  <c r="B207" i="1"/>
  <c r="A207" i="1"/>
  <c r="C208" i="1"/>
  <c r="A45" i="1"/>
  <c r="C46" i="1"/>
  <c r="B45" i="1"/>
  <c r="A816" i="1" l="1"/>
  <c r="B816" i="1"/>
  <c r="C817" i="1"/>
  <c r="B208" i="1"/>
  <c r="C209" i="1"/>
  <c r="A208" i="1"/>
  <c r="B46" i="1"/>
  <c r="A46" i="1"/>
  <c r="C47" i="1"/>
  <c r="C818" i="1" l="1"/>
  <c r="B817" i="1"/>
  <c r="A817" i="1"/>
  <c r="B209" i="1"/>
  <c r="A209" i="1"/>
  <c r="C210" i="1"/>
  <c r="A47" i="1"/>
  <c r="B47" i="1"/>
  <c r="C48" i="1"/>
  <c r="A818" i="1" l="1"/>
  <c r="B818" i="1"/>
  <c r="C819" i="1"/>
  <c r="A210" i="1"/>
  <c r="C211" i="1"/>
  <c r="B210" i="1"/>
  <c r="A48" i="1"/>
  <c r="C49" i="1"/>
  <c r="B48" i="1"/>
  <c r="C820" i="1" l="1"/>
  <c r="B819" i="1"/>
  <c r="A819" i="1"/>
  <c r="A211" i="1"/>
  <c r="C212" i="1"/>
  <c r="B211" i="1"/>
  <c r="B49" i="1"/>
  <c r="A49" i="1"/>
  <c r="C50" i="1"/>
  <c r="A820" i="1" l="1"/>
  <c r="C821" i="1"/>
  <c r="B820" i="1"/>
  <c r="C213" i="1"/>
  <c r="B212" i="1"/>
  <c r="A212" i="1"/>
  <c r="A50" i="1"/>
  <c r="B50" i="1"/>
  <c r="C51" i="1"/>
  <c r="C822" i="1" l="1"/>
  <c r="B821" i="1"/>
  <c r="A821" i="1"/>
  <c r="B213" i="1"/>
  <c r="A213" i="1"/>
  <c r="C214" i="1"/>
  <c r="A51" i="1"/>
  <c r="B51" i="1"/>
  <c r="C52" i="1"/>
  <c r="A822" i="1" l="1"/>
  <c r="C823" i="1"/>
  <c r="B822" i="1"/>
  <c r="C215" i="1"/>
  <c r="A214" i="1"/>
  <c r="B214" i="1"/>
  <c r="A52" i="1"/>
  <c r="C53" i="1"/>
  <c r="B52" i="1"/>
  <c r="C824" i="1" l="1"/>
  <c r="B823" i="1"/>
  <c r="A823" i="1"/>
  <c r="A215" i="1"/>
  <c r="C216" i="1"/>
  <c r="B215" i="1"/>
  <c r="B53" i="1"/>
  <c r="A53" i="1"/>
  <c r="C54" i="1"/>
  <c r="A824" i="1" l="1"/>
  <c r="B824" i="1"/>
  <c r="C825" i="1"/>
  <c r="A216" i="1"/>
  <c r="C217" i="1"/>
  <c r="B216" i="1"/>
  <c r="C55" i="1"/>
  <c r="B54" i="1"/>
  <c r="A54" i="1"/>
  <c r="C826" i="1" l="1"/>
  <c r="B825" i="1"/>
  <c r="A825" i="1"/>
  <c r="A217" i="1"/>
  <c r="C218" i="1"/>
  <c r="B217" i="1"/>
  <c r="A55" i="1"/>
  <c r="B55" i="1"/>
  <c r="C56" i="1"/>
  <c r="A826" i="1" l="1"/>
  <c r="B826" i="1"/>
  <c r="C827" i="1"/>
  <c r="B218" i="1"/>
  <c r="A218" i="1"/>
  <c r="C219" i="1"/>
  <c r="A56" i="1"/>
  <c r="C57" i="1"/>
  <c r="B56" i="1"/>
  <c r="C828" i="1" l="1"/>
  <c r="B827" i="1"/>
  <c r="A827" i="1"/>
  <c r="C220" i="1"/>
  <c r="B219" i="1"/>
  <c r="A219" i="1"/>
  <c r="B57" i="1"/>
  <c r="A57" i="1"/>
  <c r="C58" i="1"/>
  <c r="A828" i="1" l="1"/>
  <c r="C829" i="1"/>
  <c r="B828" i="1"/>
  <c r="B220" i="1"/>
  <c r="A220" i="1"/>
  <c r="C221" i="1"/>
  <c r="B58" i="1"/>
  <c r="A58" i="1"/>
  <c r="C59" i="1"/>
  <c r="C830" i="1" l="1"/>
  <c r="B829" i="1"/>
  <c r="A829" i="1"/>
  <c r="B221" i="1"/>
  <c r="A221" i="1"/>
  <c r="C222" i="1"/>
  <c r="C60" i="1"/>
  <c r="A59" i="1"/>
  <c r="B59" i="1"/>
  <c r="A830" i="1" l="1"/>
  <c r="C831" i="1"/>
  <c r="B830" i="1"/>
  <c r="B222" i="1"/>
  <c r="A222" i="1"/>
  <c r="C223" i="1"/>
  <c r="A60" i="1"/>
  <c r="C61" i="1"/>
  <c r="B60" i="1"/>
  <c r="C832" i="1" l="1"/>
  <c r="B831" i="1"/>
  <c r="A831" i="1"/>
  <c r="B223" i="1"/>
  <c r="A223" i="1"/>
  <c r="C224" i="1"/>
  <c r="B61" i="1"/>
  <c r="C62" i="1"/>
  <c r="A61" i="1"/>
  <c r="A832" i="1" l="1"/>
  <c r="B832" i="1"/>
  <c r="C833" i="1"/>
  <c r="B224" i="1"/>
  <c r="A224" i="1"/>
  <c r="C225" i="1"/>
  <c r="B62" i="1"/>
  <c r="A62" i="1"/>
  <c r="C63" i="1"/>
  <c r="C834" i="1" l="1"/>
  <c r="B833" i="1"/>
  <c r="A833" i="1"/>
  <c r="C226" i="1"/>
  <c r="A225" i="1"/>
  <c r="B225" i="1"/>
  <c r="C64" i="1"/>
  <c r="B63" i="1"/>
  <c r="A63" i="1"/>
  <c r="A834" i="1" l="1"/>
  <c r="B834" i="1"/>
  <c r="C835" i="1"/>
  <c r="A226" i="1"/>
  <c r="C227" i="1"/>
  <c r="B226" i="1"/>
  <c r="B64" i="1"/>
  <c r="A64" i="1"/>
  <c r="C65" i="1"/>
  <c r="C836" i="1" l="1"/>
  <c r="B835" i="1"/>
  <c r="A835" i="1"/>
  <c r="C228" i="1"/>
  <c r="B227" i="1"/>
  <c r="A227" i="1"/>
  <c r="C66" i="1"/>
  <c r="B65" i="1"/>
  <c r="A65" i="1"/>
  <c r="A836" i="1" l="1"/>
  <c r="C837" i="1"/>
  <c r="B836" i="1"/>
  <c r="B228" i="1"/>
  <c r="A228" i="1"/>
  <c r="C229" i="1"/>
  <c r="A66" i="1"/>
  <c r="B66" i="1"/>
  <c r="C67" i="1"/>
  <c r="C838" i="1" l="1"/>
  <c r="B837" i="1"/>
  <c r="A837" i="1"/>
  <c r="C230" i="1"/>
  <c r="B229" i="1"/>
  <c r="A229" i="1"/>
  <c r="B67" i="1"/>
  <c r="C68" i="1"/>
  <c r="A67" i="1"/>
  <c r="A838" i="1" l="1"/>
  <c r="C839" i="1"/>
  <c r="B838" i="1"/>
  <c r="A230" i="1"/>
  <c r="C231" i="1"/>
  <c r="B230" i="1"/>
  <c r="B68" i="1"/>
  <c r="A68" i="1"/>
  <c r="C69" i="1"/>
  <c r="C840" i="1" l="1"/>
  <c r="B839" i="1"/>
  <c r="A839" i="1"/>
  <c r="C232" i="1"/>
  <c r="B231" i="1"/>
  <c r="A231" i="1"/>
  <c r="B69" i="1"/>
  <c r="A69" i="1"/>
  <c r="C70" i="1"/>
  <c r="A840" i="1" l="1"/>
  <c r="B840" i="1"/>
  <c r="C841" i="1"/>
  <c r="C233" i="1"/>
  <c r="B232" i="1"/>
  <c r="A232" i="1"/>
  <c r="C71" i="1"/>
  <c r="B70" i="1"/>
  <c r="A70" i="1"/>
  <c r="C842" i="1" l="1"/>
  <c r="B841" i="1"/>
  <c r="A841" i="1"/>
  <c r="C234" i="1"/>
  <c r="B233" i="1"/>
  <c r="A233" i="1"/>
  <c r="A71" i="1"/>
  <c r="C72" i="1"/>
  <c r="B71" i="1"/>
  <c r="A842" i="1" l="1"/>
  <c r="B842" i="1"/>
  <c r="C843" i="1"/>
  <c r="C235" i="1"/>
  <c r="B234" i="1"/>
  <c r="A234" i="1"/>
  <c r="C73" i="1"/>
  <c r="B72" i="1"/>
  <c r="A72" i="1"/>
  <c r="C844" i="1" l="1"/>
  <c r="B843" i="1"/>
  <c r="A843" i="1"/>
  <c r="B235" i="1"/>
  <c r="A235" i="1"/>
  <c r="C236" i="1"/>
  <c r="A73" i="1"/>
  <c r="C74" i="1"/>
  <c r="B73" i="1"/>
  <c r="A844" i="1" l="1"/>
  <c r="C845" i="1"/>
  <c r="B844" i="1"/>
  <c r="B236" i="1"/>
  <c r="A236" i="1"/>
  <c r="C237" i="1"/>
  <c r="C75" i="1"/>
  <c r="A74" i="1"/>
  <c r="B74" i="1"/>
  <c r="C846" i="1" l="1"/>
  <c r="B845" i="1"/>
  <c r="A845" i="1"/>
  <c r="B237" i="1"/>
  <c r="A237" i="1"/>
  <c r="C238" i="1"/>
  <c r="B75" i="1"/>
  <c r="A75" i="1"/>
  <c r="C76" i="1"/>
  <c r="A846" i="1" l="1"/>
  <c r="C847" i="1"/>
  <c r="B846" i="1"/>
  <c r="C239" i="1"/>
  <c r="B238" i="1"/>
  <c r="A238" i="1"/>
  <c r="C77" i="1"/>
  <c r="B76" i="1"/>
  <c r="A76" i="1"/>
  <c r="C848" i="1" l="1"/>
  <c r="B847" i="1"/>
  <c r="A847" i="1"/>
  <c r="A239" i="1"/>
  <c r="B239" i="1"/>
  <c r="C240" i="1"/>
  <c r="A77" i="1"/>
  <c r="C78" i="1"/>
  <c r="B77" i="1"/>
  <c r="A848" i="1" l="1"/>
  <c r="B848" i="1"/>
  <c r="C849" i="1"/>
  <c r="A240" i="1"/>
  <c r="B240" i="1"/>
  <c r="C241" i="1"/>
  <c r="A78" i="1"/>
  <c r="B78" i="1"/>
  <c r="C79" i="1"/>
  <c r="C850" i="1" l="1"/>
  <c r="B849" i="1"/>
  <c r="A849" i="1"/>
  <c r="A241" i="1"/>
  <c r="B241" i="1"/>
  <c r="C242" i="1"/>
  <c r="C80" i="1"/>
  <c r="A79" i="1"/>
  <c r="B79" i="1"/>
  <c r="A850" i="1" l="1"/>
  <c r="B850" i="1"/>
  <c r="C851" i="1"/>
  <c r="B242" i="1"/>
  <c r="C243" i="1"/>
  <c r="A242" i="1"/>
  <c r="B80" i="1"/>
  <c r="A80" i="1"/>
  <c r="C81" i="1"/>
  <c r="C852" i="1" l="1"/>
  <c r="B851" i="1"/>
  <c r="A851" i="1"/>
  <c r="B243" i="1"/>
  <c r="A243" i="1"/>
  <c r="C244" i="1"/>
  <c r="C82" i="1"/>
  <c r="A81" i="1"/>
  <c r="B81" i="1"/>
  <c r="A852" i="1" l="1"/>
  <c r="C853" i="1"/>
  <c r="B852" i="1"/>
  <c r="B244" i="1"/>
  <c r="A244" i="1"/>
  <c r="C245" i="1"/>
  <c r="B82" i="1"/>
  <c r="A82" i="1"/>
  <c r="C83" i="1"/>
  <c r="C854" i="1" l="1"/>
  <c r="B853" i="1"/>
  <c r="A853" i="1"/>
  <c r="B245" i="1"/>
  <c r="A245" i="1"/>
  <c r="C246" i="1"/>
  <c r="B83" i="1"/>
  <c r="A83" i="1"/>
  <c r="C84" i="1"/>
  <c r="A854" i="1" l="1"/>
  <c r="C855" i="1"/>
  <c r="B854" i="1"/>
  <c r="C247" i="1"/>
  <c r="B246" i="1"/>
  <c r="A246" i="1"/>
  <c r="A84" i="1"/>
  <c r="C85" i="1"/>
  <c r="B84" i="1"/>
  <c r="C856" i="1" l="1"/>
  <c r="B855" i="1"/>
  <c r="A855" i="1"/>
  <c r="B247" i="1"/>
  <c r="A247" i="1"/>
  <c r="C248" i="1"/>
  <c r="A85" i="1"/>
  <c r="C86" i="1"/>
  <c r="B85" i="1"/>
  <c r="A856" i="1" l="1"/>
  <c r="B856" i="1"/>
  <c r="C857" i="1"/>
  <c r="B248" i="1"/>
  <c r="C249" i="1"/>
  <c r="A248" i="1"/>
  <c r="A86" i="1"/>
  <c r="B86" i="1"/>
  <c r="C87" i="1"/>
  <c r="C858" i="1" l="1"/>
  <c r="B857" i="1"/>
  <c r="A857" i="1"/>
  <c r="B249" i="1"/>
  <c r="A249" i="1"/>
  <c r="C250" i="1"/>
  <c r="A87" i="1"/>
  <c r="B87" i="1"/>
  <c r="C88" i="1"/>
  <c r="A858" i="1" l="1"/>
  <c r="B858" i="1"/>
  <c r="C859" i="1"/>
  <c r="C251" i="1"/>
  <c r="B250" i="1"/>
  <c r="A250" i="1"/>
  <c r="C89" i="1"/>
  <c r="B88" i="1"/>
  <c r="A88" i="1"/>
  <c r="C860" i="1" l="1"/>
  <c r="B859" i="1"/>
  <c r="A859" i="1"/>
  <c r="B251" i="1"/>
  <c r="C252" i="1"/>
  <c r="A251" i="1"/>
  <c r="C90" i="1"/>
  <c r="B89" i="1"/>
  <c r="A89" i="1"/>
  <c r="A860" i="1" l="1"/>
  <c r="C861" i="1"/>
  <c r="B860" i="1"/>
  <c r="B252" i="1"/>
  <c r="A252" i="1"/>
  <c r="C253" i="1"/>
  <c r="B90" i="1"/>
  <c r="A90" i="1"/>
  <c r="C91" i="1"/>
  <c r="C862" i="1" l="1"/>
  <c r="B861" i="1"/>
  <c r="A861" i="1"/>
  <c r="B253" i="1"/>
  <c r="A253" i="1"/>
  <c r="C254" i="1"/>
  <c r="A91" i="1"/>
  <c r="B91" i="1"/>
  <c r="C92" i="1"/>
  <c r="A862" i="1" l="1"/>
  <c r="C863" i="1"/>
  <c r="B862" i="1"/>
  <c r="C255" i="1"/>
  <c r="B254" i="1"/>
  <c r="A254" i="1"/>
  <c r="B92" i="1"/>
  <c r="A92" i="1"/>
  <c r="C93" i="1"/>
  <c r="C864" i="1" l="1"/>
  <c r="B863" i="1"/>
  <c r="A863" i="1"/>
  <c r="B255" i="1"/>
  <c r="A255" i="1"/>
  <c r="C256" i="1"/>
  <c r="C94" i="1"/>
  <c r="B93" i="1"/>
  <c r="A93" i="1"/>
  <c r="A864" i="1" l="1"/>
  <c r="B864" i="1"/>
  <c r="C865" i="1"/>
  <c r="B256" i="1"/>
  <c r="A256" i="1"/>
  <c r="C257" i="1"/>
  <c r="B94" i="1"/>
  <c r="C95" i="1"/>
  <c r="A94" i="1"/>
  <c r="C866" i="1" l="1"/>
  <c r="B865" i="1"/>
  <c r="A865" i="1"/>
  <c r="B257" i="1"/>
  <c r="A257" i="1"/>
  <c r="C258" i="1"/>
  <c r="B95" i="1"/>
  <c r="A95" i="1"/>
  <c r="C96" i="1"/>
  <c r="A866" i="1" l="1"/>
  <c r="B866" i="1"/>
  <c r="C867" i="1"/>
  <c r="C259" i="1"/>
  <c r="B258" i="1"/>
  <c r="A258" i="1"/>
  <c r="C97" i="1"/>
  <c r="B96" i="1"/>
  <c r="A96" i="1"/>
  <c r="C868" i="1" l="1"/>
  <c r="B867" i="1"/>
  <c r="A867" i="1"/>
  <c r="B259" i="1"/>
  <c r="A259" i="1"/>
  <c r="C260" i="1"/>
  <c r="A97" i="1"/>
  <c r="C98" i="1"/>
  <c r="B97" i="1"/>
  <c r="A868" i="1" l="1"/>
  <c r="C869" i="1"/>
  <c r="B868" i="1"/>
  <c r="C261" i="1"/>
  <c r="A260" i="1"/>
  <c r="B260" i="1"/>
  <c r="B98" i="1"/>
  <c r="C99" i="1"/>
  <c r="A98" i="1"/>
  <c r="C870" i="1" l="1"/>
  <c r="B869" i="1"/>
  <c r="A869" i="1"/>
  <c r="A261" i="1"/>
  <c r="C262" i="1"/>
  <c r="B261" i="1"/>
  <c r="B99" i="1"/>
  <c r="C100" i="1"/>
  <c r="A99" i="1"/>
  <c r="A870" i="1" l="1"/>
  <c r="C871" i="1"/>
  <c r="B870" i="1"/>
  <c r="C263" i="1"/>
  <c r="A262" i="1"/>
  <c r="B262" i="1"/>
  <c r="C101" i="1"/>
  <c r="A100" i="1"/>
  <c r="B100" i="1"/>
  <c r="C872" i="1" l="1"/>
  <c r="B871" i="1"/>
  <c r="A871" i="1"/>
  <c r="B263" i="1"/>
  <c r="A263" i="1"/>
  <c r="C264" i="1"/>
  <c r="A101" i="1"/>
  <c r="B101" i="1"/>
  <c r="C102" i="1"/>
  <c r="A872" i="1" l="1"/>
  <c r="B872" i="1"/>
  <c r="C873" i="1"/>
  <c r="A264" i="1"/>
  <c r="C265" i="1"/>
  <c r="B264" i="1"/>
  <c r="C103" i="1"/>
  <c r="A102" i="1"/>
  <c r="B102" i="1"/>
  <c r="C874" i="1" l="1"/>
  <c r="B873" i="1"/>
  <c r="A873" i="1"/>
  <c r="B265" i="1"/>
  <c r="C266" i="1"/>
  <c r="A265" i="1"/>
  <c r="C104" i="1"/>
  <c r="A103" i="1"/>
  <c r="B103" i="1"/>
  <c r="A874" i="1" l="1"/>
  <c r="B874" i="1"/>
  <c r="C875" i="1"/>
  <c r="A266" i="1"/>
  <c r="C267" i="1"/>
  <c r="B266" i="1"/>
  <c r="B104" i="1"/>
  <c r="C105" i="1"/>
  <c r="A104" i="1"/>
  <c r="C876" i="1" l="1"/>
  <c r="B875" i="1"/>
  <c r="A875" i="1"/>
  <c r="B267" i="1"/>
  <c r="A267" i="1"/>
  <c r="C268" i="1"/>
  <c r="A105" i="1"/>
  <c r="C106" i="1"/>
  <c r="B105" i="1"/>
  <c r="A876" i="1" l="1"/>
  <c r="C877" i="1"/>
  <c r="B876" i="1"/>
  <c r="C269" i="1"/>
  <c r="B268" i="1"/>
  <c r="A268" i="1"/>
  <c r="B106" i="1"/>
  <c r="A106" i="1"/>
  <c r="C107" i="1"/>
  <c r="C878" i="1" l="1"/>
  <c r="B877" i="1"/>
  <c r="A877" i="1"/>
  <c r="C270" i="1"/>
  <c r="B269" i="1"/>
  <c r="A269" i="1"/>
  <c r="A107" i="1"/>
  <c r="B107" i="1"/>
  <c r="C108" i="1"/>
  <c r="A878" i="1" l="1"/>
  <c r="C879" i="1"/>
  <c r="B878" i="1"/>
  <c r="B270" i="1"/>
  <c r="C271" i="1"/>
  <c r="A270" i="1"/>
  <c r="C109" i="1"/>
  <c r="B108" i="1"/>
  <c r="A108" i="1"/>
  <c r="C880" i="1" l="1"/>
  <c r="B879" i="1"/>
  <c r="A879" i="1"/>
  <c r="C272" i="1"/>
  <c r="B271" i="1"/>
  <c r="A271" i="1"/>
  <c r="C110" i="1"/>
  <c r="B109" i="1"/>
  <c r="A109" i="1"/>
  <c r="A880" i="1" l="1"/>
  <c r="B880" i="1"/>
  <c r="C881" i="1"/>
  <c r="C273" i="1"/>
  <c r="B272" i="1"/>
  <c r="A272" i="1"/>
  <c r="A110" i="1"/>
  <c r="C111" i="1"/>
  <c r="B110" i="1"/>
  <c r="C882" i="1" l="1"/>
  <c r="B881" i="1"/>
  <c r="A881" i="1"/>
  <c r="C274" i="1"/>
  <c r="B273" i="1"/>
  <c r="A273" i="1"/>
  <c r="A111" i="1"/>
  <c r="C112" i="1"/>
  <c r="B111" i="1"/>
  <c r="A882" i="1" l="1"/>
  <c r="B882" i="1"/>
  <c r="C883" i="1"/>
  <c r="B274" i="1"/>
  <c r="A274" i="1"/>
  <c r="C275" i="1"/>
  <c r="A112" i="1"/>
  <c r="C113" i="1"/>
  <c r="B112" i="1"/>
  <c r="C884" i="1" l="1"/>
  <c r="B883" i="1"/>
  <c r="A883" i="1"/>
  <c r="C276" i="1"/>
  <c r="A275" i="1"/>
  <c r="B275" i="1"/>
  <c r="C114" i="1"/>
  <c r="B113" i="1"/>
  <c r="A113" i="1"/>
  <c r="A884" i="1" l="1"/>
  <c r="C885" i="1"/>
  <c r="B884" i="1"/>
  <c r="B276" i="1"/>
  <c r="A276" i="1"/>
  <c r="C277" i="1"/>
  <c r="B114" i="1"/>
  <c r="A114" i="1"/>
  <c r="C115" i="1"/>
  <c r="C886" i="1" l="1"/>
  <c r="B885" i="1"/>
  <c r="A885" i="1"/>
  <c r="B277" i="1"/>
  <c r="A277" i="1"/>
  <c r="C278" i="1"/>
  <c r="A115" i="1"/>
  <c r="B115" i="1"/>
  <c r="C116" i="1"/>
  <c r="A886" i="1" l="1"/>
  <c r="C887" i="1"/>
  <c r="B886" i="1"/>
  <c r="B278" i="1"/>
  <c r="C279" i="1"/>
  <c r="A278" i="1"/>
  <c r="A116" i="1"/>
  <c r="C117" i="1"/>
  <c r="B116" i="1"/>
  <c r="C888" i="1" l="1"/>
  <c r="B887" i="1"/>
  <c r="A887" i="1"/>
  <c r="B279" i="1"/>
  <c r="A279" i="1"/>
  <c r="C280" i="1"/>
  <c r="C118" i="1"/>
  <c r="B117" i="1"/>
  <c r="A117" i="1"/>
  <c r="A888" i="1" l="1"/>
  <c r="B888" i="1"/>
  <c r="C889" i="1"/>
  <c r="B280" i="1"/>
  <c r="A280" i="1"/>
  <c r="C281" i="1"/>
  <c r="B118" i="1"/>
  <c r="C119" i="1"/>
  <c r="A118" i="1"/>
  <c r="C890" i="1" l="1"/>
  <c r="B889" i="1"/>
  <c r="A889" i="1"/>
  <c r="A281" i="1"/>
  <c r="C282" i="1"/>
  <c r="B281" i="1"/>
  <c r="C120" i="1"/>
  <c r="A119" i="1"/>
  <c r="B119" i="1"/>
  <c r="A890" i="1" l="1"/>
  <c r="B890" i="1"/>
  <c r="C891" i="1"/>
  <c r="C283" i="1"/>
  <c r="B282" i="1"/>
  <c r="A282" i="1"/>
  <c r="A120" i="1"/>
  <c r="C121" i="1"/>
  <c r="B120" i="1"/>
  <c r="C892" i="1" l="1"/>
  <c r="B891" i="1"/>
  <c r="A891" i="1"/>
  <c r="B283" i="1"/>
  <c r="A283" i="1"/>
  <c r="C284" i="1"/>
  <c r="C122" i="1"/>
  <c r="B121" i="1"/>
  <c r="A121" i="1"/>
  <c r="A892" i="1" l="1"/>
  <c r="C893" i="1"/>
  <c r="B892" i="1"/>
  <c r="A284" i="1"/>
  <c r="C285" i="1"/>
  <c r="B284" i="1"/>
  <c r="B122" i="1"/>
  <c r="A122" i="1"/>
  <c r="C123" i="1"/>
  <c r="C894" i="1" l="1"/>
  <c r="B893" i="1"/>
  <c r="A893" i="1"/>
  <c r="B285" i="1"/>
  <c r="A285" i="1"/>
  <c r="C286" i="1"/>
  <c r="C124" i="1"/>
  <c r="B123" i="1"/>
  <c r="A123" i="1"/>
  <c r="A894" i="1" l="1"/>
  <c r="C895" i="1"/>
  <c r="B894" i="1"/>
  <c r="C287" i="1"/>
  <c r="A286" i="1"/>
  <c r="B286" i="1"/>
  <c r="B124" i="1"/>
  <c r="A124" i="1"/>
  <c r="C125" i="1"/>
  <c r="C896" i="1" l="1"/>
  <c r="B895" i="1"/>
  <c r="A895" i="1"/>
  <c r="A287" i="1"/>
  <c r="C288" i="1"/>
  <c r="B287" i="1"/>
  <c r="A125" i="1"/>
  <c r="B125" i="1"/>
  <c r="C126" i="1"/>
  <c r="A896" i="1" l="1"/>
  <c r="B896" i="1"/>
  <c r="C897" i="1"/>
  <c r="C289" i="1"/>
  <c r="B288" i="1"/>
  <c r="A288" i="1"/>
  <c r="C127" i="1"/>
  <c r="B126" i="1"/>
  <c r="A126" i="1"/>
  <c r="C898" i="1" l="1"/>
  <c r="B897" i="1"/>
  <c r="A897" i="1"/>
  <c r="C290" i="1"/>
  <c r="B289" i="1"/>
  <c r="A289" i="1"/>
  <c r="B127" i="1"/>
  <c r="A127" i="1"/>
  <c r="C128" i="1"/>
  <c r="A898" i="1" l="1"/>
  <c r="B898" i="1"/>
  <c r="C899" i="1"/>
  <c r="A290" i="1"/>
  <c r="C291" i="1"/>
  <c r="B290" i="1"/>
  <c r="B128" i="1"/>
  <c r="A128" i="1"/>
  <c r="C129" i="1"/>
  <c r="C900" i="1" l="1"/>
  <c r="B899" i="1"/>
  <c r="A899" i="1"/>
  <c r="A291" i="1"/>
  <c r="C292" i="1"/>
  <c r="B291" i="1"/>
  <c r="C130" i="1"/>
  <c r="A129" i="1"/>
  <c r="B129" i="1"/>
  <c r="A900" i="1" l="1"/>
  <c r="C901" i="1"/>
  <c r="B900" i="1"/>
  <c r="C293" i="1"/>
  <c r="B292" i="1"/>
  <c r="A292" i="1"/>
  <c r="C131" i="1"/>
  <c r="B130" i="1"/>
  <c r="A130" i="1"/>
  <c r="C902" i="1" l="1"/>
  <c r="B901" i="1"/>
  <c r="A901" i="1"/>
  <c r="B293" i="1"/>
  <c r="C294" i="1"/>
  <c r="A293" i="1"/>
  <c r="B131" i="1"/>
  <c r="A131" i="1"/>
  <c r="C132" i="1"/>
  <c r="A902" i="1" l="1"/>
  <c r="C903" i="1"/>
  <c r="B902" i="1"/>
  <c r="A294" i="1"/>
  <c r="B294" i="1"/>
  <c r="C295" i="1"/>
  <c r="B132" i="1"/>
  <c r="C133" i="1"/>
  <c r="A132" i="1"/>
  <c r="C904" i="1" l="1"/>
  <c r="B903" i="1"/>
  <c r="A903" i="1"/>
  <c r="C296" i="1"/>
  <c r="B295" i="1"/>
  <c r="A295" i="1"/>
  <c r="B133" i="1"/>
  <c r="A133" i="1"/>
  <c r="C134" i="1"/>
  <c r="A904" i="1" l="1"/>
  <c r="B904" i="1"/>
  <c r="A296" i="1"/>
  <c r="C297" i="1"/>
  <c r="B296" i="1"/>
  <c r="C135" i="1"/>
  <c r="B134" i="1"/>
  <c r="A134" i="1"/>
  <c r="G19" i="2" l="1"/>
  <c r="E20" i="2"/>
  <c r="D22" i="2"/>
  <c r="E21" i="2"/>
  <c r="G22" i="2"/>
  <c r="F19" i="2"/>
  <c r="F21" i="2"/>
  <c r="H19" i="2"/>
  <c r="F22" i="2"/>
  <c r="D20" i="2"/>
  <c r="F20" i="2"/>
  <c r="G20" i="2"/>
  <c r="E19" i="2"/>
  <c r="D19" i="2"/>
  <c r="H22" i="2"/>
  <c r="H21" i="2"/>
  <c r="D21" i="2"/>
  <c r="E22" i="2"/>
  <c r="G21" i="2"/>
  <c r="H20" i="2"/>
  <c r="D17" i="2"/>
  <c r="H18" i="2"/>
  <c r="G18" i="2"/>
  <c r="E18" i="2"/>
  <c r="D18" i="2"/>
  <c r="F17" i="2"/>
  <c r="F18" i="2"/>
  <c r="H17" i="2"/>
  <c r="G17" i="2"/>
  <c r="E17" i="2"/>
  <c r="C298" i="1"/>
  <c r="B297" i="1"/>
  <c r="A297" i="1"/>
  <c r="B135" i="1"/>
  <c r="A135" i="1"/>
  <c r="C136" i="1"/>
  <c r="A298" i="1" l="1"/>
  <c r="C299" i="1"/>
  <c r="B298" i="1"/>
  <c r="B136" i="1"/>
  <c r="A136" i="1"/>
  <c r="C137" i="1"/>
  <c r="B299" i="1" l="1"/>
  <c r="A299" i="1"/>
  <c r="C300" i="1"/>
  <c r="B137" i="1"/>
  <c r="A137" i="1"/>
  <c r="C138" i="1"/>
  <c r="C301" i="1" l="1"/>
  <c r="B300" i="1"/>
  <c r="A300" i="1"/>
  <c r="B138" i="1"/>
  <c r="A138" i="1"/>
  <c r="C139" i="1"/>
  <c r="C302" i="1" l="1"/>
  <c r="B301" i="1"/>
  <c r="A301" i="1"/>
  <c r="B139" i="1"/>
  <c r="C140" i="1"/>
  <c r="A139" i="1"/>
  <c r="A302" i="1" l="1"/>
  <c r="B302" i="1"/>
  <c r="C303" i="1"/>
  <c r="B140" i="1"/>
  <c r="C141" i="1"/>
  <c r="A140" i="1"/>
  <c r="B303" i="1" l="1"/>
  <c r="A303" i="1"/>
  <c r="C304" i="1"/>
  <c r="C142" i="1"/>
  <c r="A141" i="1"/>
  <c r="B141" i="1"/>
  <c r="B304" i="1" l="1"/>
  <c r="A304" i="1"/>
  <c r="C305" i="1"/>
  <c r="B142" i="1"/>
  <c r="C143" i="1"/>
  <c r="A142" i="1"/>
  <c r="A305" i="1" l="1"/>
  <c r="C306" i="1"/>
  <c r="B305" i="1"/>
  <c r="A143" i="1"/>
  <c r="B143" i="1"/>
  <c r="C144" i="1"/>
  <c r="A306" i="1" l="1"/>
  <c r="C307" i="1"/>
  <c r="B306" i="1"/>
  <c r="C145" i="1"/>
  <c r="B144" i="1"/>
  <c r="A144" i="1"/>
  <c r="C308" i="1" l="1"/>
  <c r="B307" i="1"/>
  <c r="A307" i="1"/>
  <c r="B145" i="1"/>
  <c r="A145" i="1"/>
  <c r="C146" i="1"/>
  <c r="B308" i="1" l="1"/>
  <c r="A308" i="1"/>
  <c r="C309" i="1"/>
  <c r="B146" i="1"/>
  <c r="A146" i="1"/>
  <c r="C147" i="1"/>
  <c r="C310" i="1" l="1"/>
  <c r="B309" i="1"/>
  <c r="A309" i="1"/>
  <c r="B147" i="1"/>
  <c r="A147" i="1"/>
  <c r="C148" i="1"/>
  <c r="C311" i="1" l="1"/>
  <c r="A310" i="1"/>
  <c r="B310" i="1"/>
  <c r="A148" i="1"/>
  <c r="B148" i="1"/>
  <c r="C149" i="1"/>
  <c r="C312" i="1" l="1"/>
  <c r="B311" i="1"/>
  <c r="A311" i="1"/>
  <c r="C150" i="1"/>
  <c r="B149" i="1"/>
  <c r="A149" i="1"/>
  <c r="C313" i="1" l="1"/>
  <c r="B312" i="1"/>
  <c r="A312" i="1"/>
  <c r="C151" i="1"/>
  <c r="A150" i="1"/>
  <c r="B150" i="1"/>
  <c r="A313" i="1" l="1"/>
  <c r="B313" i="1"/>
  <c r="C314" i="1"/>
  <c r="B151" i="1"/>
  <c r="C152" i="1"/>
  <c r="A151" i="1"/>
  <c r="A314" i="1" l="1"/>
  <c r="C315" i="1"/>
  <c r="B314" i="1"/>
  <c r="A152" i="1"/>
  <c r="B152" i="1"/>
  <c r="C153" i="1"/>
  <c r="C316" i="1" l="1"/>
  <c r="B315" i="1"/>
  <c r="A315" i="1"/>
  <c r="B153" i="1"/>
  <c r="C154" i="1"/>
  <c r="A153" i="1"/>
  <c r="C317" i="1" l="1"/>
  <c r="B316" i="1"/>
  <c r="A316" i="1"/>
  <c r="A154" i="1"/>
  <c r="B154" i="1"/>
  <c r="C155" i="1"/>
  <c r="A317" i="1" l="1"/>
  <c r="C318" i="1"/>
  <c r="B317" i="1"/>
  <c r="C156" i="1"/>
  <c r="B155" i="1"/>
  <c r="A155" i="1"/>
  <c r="A318" i="1" l="1"/>
  <c r="B318" i="1"/>
  <c r="C319" i="1"/>
  <c r="B156" i="1"/>
  <c r="C157" i="1"/>
  <c r="A156" i="1"/>
  <c r="C320" i="1" l="1"/>
  <c r="B319" i="1"/>
  <c r="A319" i="1"/>
  <c r="B157" i="1"/>
  <c r="C158" i="1"/>
  <c r="A157" i="1"/>
  <c r="C321" i="1" l="1"/>
  <c r="B320" i="1"/>
  <c r="A320" i="1"/>
  <c r="B158" i="1"/>
  <c r="A158" i="1"/>
  <c r="C159" i="1"/>
  <c r="A321" i="1" l="1"/>
  <c r="C322" i="1"/>
  <c r="B321" i="1"/>
  <c r="B159" i="1"/>
  <c r="A159" i="1"/>
  <c r="C160" i="1"/>
  <c r="A322" i="1" l="1"/>
  <c r="B322" i="1"/>
  <c r="C323" i="1"/>
  <c r="A160" i="1"/>
  <c r="C161" i="1"/>
  <c r="C162" i="1" s="1"/>
  <c r="B160" i="1"/>
  <c r="C324" i="1" l="1"/>
  <c r="C325" i="1" s="1"/>
  <c r="A323" i="1"/>
  <c r="B323" i="1"/>
  <c r="C163" i="1"/>
  <c r="A162" i="1"/>
  <c r="B162" i="1"/>
  <c r="A161" i="1"/>
  <c r="B161" i="1"/>
  <c r="A325" i="1" l="1"/>
  <c r="B325" i="1"/>
  <c r="C326" i="1"/>
  <c r="A163" i="1"/>
  <c r="B163" i="1"/>
  <c r="C164" i="1"/>
  <c r="B324" i="1"/>
  <c r="A324" i="1"/>
  <c r="C327" i="1" l="1"/>
  <c r="A326" i="1"/>
  <c r="B326" i="1"/>
  <c r="B164" i="1"/>
  <c r="A164" i="1"/>
  <c r="C165" i="1"/>
  <c r="C328" i="1" l="1"/>
  <c r="A327" i="1"/>
  <c r="B327" i="1"/>
  <c r="C166" i="1"/>
  <c r="A165" i="1"/>
  <c r="B165" i="1"/>
  <c r="B328" i="1" l="1"/>
  <c r="A328" i="1"/>
  <c r="C329" i="1"/>
  <c r="C167" i="1"/>
  <c r="B166" i="1"/>
  <c r="A166" i="1"/>
  <c r="B329" i="1" l="1"/>
  <c r="C330" i="1"/>
  <c r="A329" i="1"/>
  <c r="B167" i="1"/>
  <c r="A167" i="1"/>
  <c r="C168" i="1"/>
  <c r="B330" i="1" l="1"/>
  <c r="A330" i="1"/>
  <c r="C331" i="1"/>
  <c r="A168" i="1"/>
  <c r="C169" i="1"/>
  <c r="B168" i="1"/>
  <c r="C332" i="1" l="1"/>
  <c r="B331" i="1"/>
  <c r="A331" i="1"/>
  <c r="C170" i="1"/>
  <c r="B169" i="1"/>
  <c r="A169" i="1"/>
  <c r="B332" i="1" l="1"/>
  <c r="A332" i="1"/>
  <c r="C333" i="1"/>
  <c r="A170" i="1"/>
  <c r="B170" i="1"/>
  <c r="C171" i="1"/>
  <c r="C334" i="1" l="1"/>
  <c r="A333" i="1"/>
  <c r="B333" i="1"/>
  <c r="A171" i="1"/>
  <c r="B171" i="1"/>
  <c r="C172" i="1"/>
  <c r="B334" i="1" l="1"/>
  <c r="A334" i="1"/>
  <c r="C335" i="1"/>
  <c r="C173" i="1"/>
  <c r="B172" i="1"/>
  <c r="A172" i="1"/>
  <c r="C336" i="1" l="1"/>
  <c r="B335" i="1"/>
  <c r="A335" i="1"/>
  <c r="A173" i="1"/>
  <c r="B173" i="1"/>
  <c r="C174" i="1"/>
  <c r="B336" i="1" l="1"/>
  <c r="A336" i="1"/>
  <c r="C337" i="1"/>
  <c r="B174" i="1"/>
  <c r="C175" i="1"/>
  <c r="A174" i="1"/>
  <c r="B337" i="1" l="1"/>
  <c r="C338" i="1"/>
  <c r="A337" i="1"/>
  <c r="B175" i="1"/>
  <c r="C176" i="1"/>
  <c r="A175" i="1"/>
  <c r="C339" i="1" l="1"/>
  <c r="B338" i="1"/>
  <c r="A338" i="1"/>
  <c r="C177" i="1"/>
  <c r="B176" i="1"/>
  <c r="A176" i="1"/>
  <c r="C340" i="1" l="1"/>
  <c r="B339" i="1"/>
  <c r="A339" i="1"/>
  <c r="A177" i="1"/>
  <c r="C178" i="1"/>
  <c r="B177" i="1"/>
  <c r="C341" i="1" l="1"/>
  <c r="B340" i="1"/>
  <c r="A340" i="1"/>
  <c r="A178" i="1"/>
  <c r="C179" i="1"/>
  <c r="B178" i="1"/>
  <c r="B341" i="1" l="1"/>
  <c r="A341" i="1"/>
  <c r="C342" i="1"/>
  <c r="A179" i="1"/>
  <c r="B179" i="1"/>
  <c r="C180" i="1"/>
  <c r="C343" i="1" l="1"/>
  <c r="B342" i="1"/>
  <c r="A342" i="1"/>
  <c r="A180" i="1"/>
  <c r="C181" i="1"/>
  <c r="B180" i="1"/>
  <c r="B343" i="1" l="1"/>
  <c r="C344" i="1"/>
  <c r="A343" i="1"/>
  <c r="C182" i="1"/>
  <c r="A181" i="1"/>
  <c r="B181" i="1"/>
  <c r="A344" i="1" l="1"/>
  <c r="C345" i="1"/>
  <c r="B344" i="1"/>
  <c r="C183" i="1"/>
  <c r="B182" i="1"/>
  <c r="A182" i="1"/>
  <c r="B345" i="1" l="1"/>
  <c r="A345" i="1"/>
  <c r="C346" i="1"/>
  <c r="A183" i="1"/>
  <c r="B183" i="1"/>
  <c r="B346" i="1" l="1"/>
  <c r="A346" i="1"/>
  <c r="C347" i="1"/>
  <c r="A347" i="1" l="1"/>
  <c r="B347" i="1"/>
  <c r="C348" i="1"/>
  <c r="C349" i="1" l="1"/>
  <c r="A348" i="1"/>
  <c r="B348" i="1"/>
  <c r="A349" i="1" l="1"/>
  <c r="B349" i="1"/>
  <c r="C350" i="1"/>
  <c r="C351" i="1" l="1"/>
  <c r="B350" i="1"/>
  <c r="A350" i="1"/>
  <c r="B351" i="1" l="1"/>
  <c r="C352" i="1"/>
  <c r="A351" i="1"/>
  <c r="B352" i="1" l="1"/>
  <c r="C353" i="1"/>
  <c r="A352" i="1"/>
  <c r="A353" i="1" l="1"/>
  <c r="B353" i="1"/>
  <c r="C354" i="1"/>
  <c r="C355" i="1" l="1"/>
  <c r="B354" i="1"/>
  <c r="A354" i="1"/>
  <c r="B355" i="1" l="1"/>
  <c r="A355" i="1"/>
  <c r="C356" i="1"/>
  <c r="C357" i="1" l="1"/>
  <c r="A356" i="1"/>
  <c r="B356" i="1"/>
  <c r="A357" i="1" l="1"/>
  <c r="B357" i="1"/>
  <c r="C358" i="1"/>
  <c r="C359" i="1" l="1"/>
  <c r="B358" i="1"/>
  <c r="A358" i="1"/>
  <c r="B359" i="1" l="1"/>
  <c r="C360" i="1"/>
  <c r="A359" i="1"/>
  <c r="B360" i="1" l="1"/>
  <c r="C361" i="1"/>
  <c r="A360" i="1"/>
  <c r="A361" i="1" l="1"/>
  <c r="B361" i="1"/>
  <c r="C362" i="1"/>
  <c r="A362" i="1" l="1"/>
  <c r="C363" i="1"/>
  <c r="B362" i="1"/>
  <c r="C364" i="1" l="1"/>
  <c r="A363" i="1"/>
  <c r="B363" i="1"/>
  <c r="C365" i="1" l="1"/>
  <c r="B364" i="1"/>
  <c r="A364" i="1"/>
  <c r="A365" i="1" l="1"/>
  <c r="C366" i="1"/>
  <c r="B365" i="1"/>
  <c r="C367" i="1" l="1"/>
  <c r="B366" i="1"/>
  <c r="A366" i="1"/>
  <c r="C368" i="1" l="1"/>
  <c r="B367" i="1"/>
  <c r="A367" i="1"/>
  <c r="C369" i="1" l="1"/>
  <c r="A368" i="1"/>
  <c r="B368" i="1"/>
  <c r="A369" i="1" l="1"/>
  <c r="B369" i="1"/>
  <c r="C370" i="1"/>
  <c r="C371" i="1" l="1"/>
  <c r="B370" i="1"/>
  <c r="A370" i="1"/>
  <c r="B371" i="1" l="1"/>
  <c r="C372" i="1"/>
  <c r="A371" i="1"/>
  <c r="C373" i="1" l="1"/>
  <c r="A372" i="1"/>
  <c r="B372" i="1"/>
  <c r="A373" i="1" l="1"/>
  <c r="B373" i="1"/>
  <c r="C374" i="1"/>
  <c r="C375" i="1" l="1"/>
  <c r="A374" i="1"/>
  <c r="B374" i="1"/>
  <c r="B375" i="1" l="1"/>
  <c r="C376" i="1"/>
  <c r="A375" i="1"/>
  <c r="B376" i="1" l="1"/>
  <c r="C377" i="1"/>
  <c r="A376" i="1"/>
  <c r="A377" i="1" l="1"/>
  <c r="B377" i="1"/>
  <c r="C378" i="1"/>
  <c r="C379" i="1" l="1"/>
  <c r="B378" i="1"/>
  <c r="A378" i="1"/>
  <c r="C380" i="1" l="1"/>
  <c r="A379" i="1"/>
  <c r="B379" i="1"/>
  <c r="B380" i="1" l="1"/>
  <c r="C381" i="1"/>
  <c r="A380" i="1"/>
  <c r="A381" i="1" l="1"/>
  <c r="C382" i="1"/>
  <c r="B381" i="1"/>
  <c r="C383" i="1" l="1"/>
  <c r="B382" i="1"/>
  <c r="A382" i="1"/>
  <c r="B383" i="1" l="1"/>
  <c r="C384" i="1"/>
  <c r="A383" i="1"/>
  <c r="B384" i="1" l="1"/>
  <c r="C385" i="1"/>
  <c r="A384" i="1"/>
  <c r="A385" i="1" l="1"/>
  <c r="B385" i="1"/>
  <c r="C386" i="1"/>
  <c r="C387" i="1" l="1"/>
  <c r="A386" i="1"/>
  <c r="B386" i="1"/>
  <c r="B387" i="1" l="1"/>
  <c r="C388" i="1"/>
  <c r="A387" i="1"/>
  <c r="C389" i="1" l="1"/>
  <c r="A388" i="1"/>
  <c r="B388" i="1"/>
  <c r="B389" i="1" l="1"/>
  <c r="A389" i="1"/>
  <c r="C390" i="1"/>
  <c r="C391" i="1" l="1"/>
  <c r="A390" i="1"/>
  <c r="B390" i="1"/>
  <c r="B391" i="1" l="1"/>
  <c r="C392" i="1"/>
  <c r="A391" i="1"/>
  <c r="B392" i="1" l="1"/>
  <c r="C393" i="1"/>
  <c r="A392" i="1"/>
  <c r="A393" i="1" l="1"/>
  <c r="B393" i="1"/>
  <c r="C394" i="1"/>
  <c r="C395" i="1" l="1"/>
  <c r="A394" i="1"/>
  <c r="B394" i="1"/>
  <c r="C396" i="1" l="1"/>
  <c r="A395" i="1"/>
  <c r="B395" i="1"/>
  <c r="B396" i="1" l="1"/>
  <c r="C397" i="1"/>
  <c r="A396" i="1"/>
  <c r="A397" i="1" l="1"/>
  <c r="B397" i="1"/>
  <c r="C398" i="1"/>
  <c r="C399" i="1" l="1"/>
  <c r="B398" i="1"/>
  <c r="A398" i="1"/>
  <c r="B399" i="1" l="1"/>
  <c r="C400" i="1"/>
  <c r="A399" i="1"/>
  <c r="B400" i="1" l="1"/>
  <c r="C401" i="1"/>
  <c r="A400" i="1"/>
  <c r="A401" i="1" l="1"/>
  <c r="B401" i="1"/>
  <c r="C402" i="1"/>
  <c r="C403" i="1" l="1"/>
  <c r="B402" i="1"/>
  <c r="A402" i="1"/>
  <c r="B403" i="1" l="1"/>
  <c r="C404" i="1"/>
  <c r="A403" i="1"/>
  <c r="C405" i="1" l="1"/>
  <c r="B404" i="1"/>
  <c r="A404" i="1"/>
  <c r="A405" i="1" l="1"/>
  <c r="B405" i="1"/>
  <c r="C406" i="1"/>
  <c r="C407" i="1" l="1"/>
  <c r="B406" i="1"/>
  <c r="A406" i="1"/>
  <c r="B407" i="1" l="1"/>
  <c r="C408" i="1"/>
  <c r="A407" i="1"/>
  <c r="B408" i="1" l="1"/>
  <c r="C409" i="1"/>
  <c r="A408" i="1"/>
  <c r="A409" i="1" l="1"/>
  <c r="B409" i="1"/>
  <c r="C410" i="1"/>
  <c r="C411" i="1" l="1"/>
  <c r="B410" i="1"/>
  <c r="A410" i="1"/>
  <c r="C412" i="1" l="1"/>
  <c r="B411" i="1"/>
  <c r="A411" i="1"/>
  <c r="C413" i="1" l="1"/>
  <c r="B412" i="1"/>
  <c r="A412" i="1"/>
  <c r="A413" i="1" l="1"/>
  <c r="B413" i="1"/>
  <c r="C414" i="1"/>
  <c r="B414" i="1" l="1"/>
  <c r="A414" i="1"/>
  <c r="C415" i="1"/>
  <c r="C416" i="1" l="1"/>
  <c r="B415" i="1"/>
  <c r="A415" i="1"/>
  <c r="B416" i="1" l="1"/>
  <c r="A416" i="1"/>
  <c r="C417" i="1"/>
  <c r="A417" i="1" l="1"/>
  <c r="C418" i="1"/>
  <c r="B417" i="1"/>
  <c r="C419" i="1" l="1"/>
  <c r="B418" i="1"/>
  <c r="A418" i="1"/>
  <c r="C420" i="1" l="1"/>
  <c r="A419" i="1"/>
  <c r="B419" i="1"/>
  <c r="C421" i="1" l="1"/>
  <c r="B420" i="1"/>
  <c r="A420" i="1"/>
  <c r="A421" i="1" l="1"/>
  <c r="C422" i="1"/>
  <c r="B421" i="1"/>
  <c r="C423" i="1" l="1"/>
  <c r="B422" i="1"/>
  <c r="A422" i="1"/>
  <c r="C424" i="1" l="1"/>
  <c r="B423" i="1"/>
  <c r="A423" i="1"/>
  <c r="B424" i="1" l="1"/>
  <c r="A424" i="1"/>
  <c r="C425" i="1"/>
  <c r="C426" i="1" l="1"/>
  <c r="B425" i="1"/>
  <c r="A425" i="1"/>
  <c r="C427" i="1" l="1"/>
  <c r="A426" i="1"/>
  <c r="B426" i="1"/>
  <c r="C428" i="1" l="1"/>
  <c r="B427" i="1"/>
  <c r="A427" i="1"/>
  <c r="C429" i="1" l="1"/>
  <c r="A428" i="1"/>
  <c r="B428" i="1"/>
  <c r="A429" i="1" l="1"/>
  <c r="B429" i="1"/>
  <c r="C430" i="1"/>
  <c r="C431" i="1" l="1"/>
  <c r="A430" i="1"/>
  <c r="B430" i="1"/>
  <c r="C432" i="1" l="1"/>
  <c r="B431" i="1"/>
  <c r="A431" i="1"/>
  <c r="B432" i="1" l="1"/>
  <c r="A432" i="1"/>
  <c r="C433" i="1"/>
  <c r="A433" i="1" l="1"/>
  <c r="C434" i="1"/>
  <c r="B433" i="1"/>
  <c r="C435" i="1" l="1"/>
  <c r="B434" i="1"/>
  <c r="A434" i="1"/>
  <c r="A435" i="1" l="1"/>
  <c r="B435" i="1"/>
  <c r="G16" i="2" l="1"/>
  <c r="D16" i="2"/>
  <c r="F16" i="2"/>
  <c r="F15" i="2"/>
  <c r="H16" i="2"/>
  <c r="E16" i="2"/>
  <c r="G15" i="2"/>
  <c r="D15" i="2"/>
  <c r="G14" i="2"/>
  <c r="H15" i="2"/>
  <c r="E15" i="2"/>
  <c r="H14" i="2"/>
  <c r="F14" i="2"/>
  <c r="E14" i="2"/>
  <c r="D14" i="2"/>
  <c r="E13" i="2"/>
  <c r="D13" i="2"/>
  <c r="H13" i="2"/>
  <c r="G13" i="2"/>
  <c r="F13" i="2"/>
  <c r="E6" i="2"/>
  <c r="D8" i="2"/>
  <c r="F11" i="2"/>
  <c r="H6" i="2"/>
  <c r="G11" i="2"/>
  <c r="G12" i="2"/>
  <c r="F5" i="2"/>
  <c r="E11" i="2"/>
  <c r="F8" i="2"/>
  <c r="H11" i="2"/>
  <c r="G8" i="2"/>
  <c r="D6" i="2"/>
  <c r="D11" i="2"/>
  <c r="E7" i="2"/>
  <c r="H9" i="2"/>
  <c r="F9" i="2"/>
  <c r="F12" i="2"/>
  <c r="D9" i="2"/>
  <c r="G10" i="2"/>
  <c r="H4" i="2"/>
  <c r="D5" i="2"/>
  <c r="F7" i="2"/>
  <c r="G6" i="2"/>
  <c r="D10" i="2"/>
  <c r="H3" i="2"/>
  <c r="E10" i="2"/>
  <c r="F10" i="2"/>
  <c r="D7" i="2"/>
  <c r="E5" i="2"/>
  <c r="E9" i="2"/>
  <c r="H7" i="2"/>
  <c r="G9" i="2"/>
  <c r="H2" i="2"/>
  <c r="D4" i="2"/>
  <c r="F4" i="2"/>
  <c r="E12" i="2"/>
  <c r="F6" i="2"/>
  <c r="G7" i="2"/>
  <c r="E8" i="2"/>
  <c r="E4" i="2"/>
  <c r="D12" i="2"/>
  <c r="H5" i="2"/>
  <c r="H8" i="2"/>
  <c r="H12" i="2"/>
  <c r="F2" i="2"/>
  <c r="E3" i="2"/>
  <c r="D3" i="2"/>
  <c r="F3" i="2"/>
  <c r="E2" i="2"/>
  <c r="D2" i="2"/>
  <c r="H10" i="2"/>
</calcChain>
</file>

<file path=xl/sharedStrings.xml><?xml version="1.0" encoding="utf-8"?>
<sst xmlns="http://schemas.openxmlformats.org/spreadsheetml/2006/main" count="139" uniqueCount="126">
  <si>
    <t>鷹揚</t>
  </si>
  <si>
    <t>仕事</t>
  </si>
  <si>
    <t>残業で家事が多い+おしっこ処理で苛々</t>
    <rPh sb="0" eb="2">
      <t>ザンギョウ</t>
    </rPh>
    <rPh sb="3" eb="5">
      <t>カジ</t>
    </rPh>
    <rPh sb="6" eb="7">
      <t>オオ</t>
    </rPh>
    <rPh sb="13" eb="15">
      <t>ショリ</t>
    </rPh>
    <rPh sb="16" eb="18">
      <t>イライラ</t>
    </rPh>
    <phoneticPr fontId="1"/>
  </si>
  <si>
    <t>時間がなくて、自転車に乗るのが遅い長女がまた自転車を降りようとして苛々（落ちたものを拾ってくれようとしていた）。</t>
    <rPh sb="0" eb="2">
      <t>ジカン</t>
    </rPh>
    <rPh sb="7" eb="10">
      <t>ジテンシャ</t>
    </rPh>
    <rPh sb="11" eb="12">
      <t>ノ</t>
    </rPh>
    <rPh sb="15" eb="16">
      <t>オソ</t>
    </rPh>
    <rPh sb="17" eb="19">
      <t>チョウジョ</t>
    </rPh>
    <rPh sb="22" eb="25">
      <t>ジテンシャ</t>
    </rPh>
    <rPh sb="26" eb="27">
      <t>オ</t>
    </rPh>
    <rPh sb="33" eb="35">
      <t>イライラ</t>
    </rPh>
    <rPh sb="36" eb="37">
      <t>オ</t>
    </rPh>
    <rPh sb="42" eb="43">
      <t>ヒロ</t>
    </rPh>
    <phoneticPr fontId="1"/>
  </si>
  <si>
    <t>帰宅して公文をしないと言い出した長女を追い詰めてしまう。今日は寝不足のせいかよく泣いていたそう。</t>
    <rPh sb="0" eb="2">
      <t>キタク</t>
    </rPh>
    <rPh sb="4" eb="6">
      <t>クモン</t>
    </rPh>
    <rPh sb="11" eb="12">
      <t>イ</t>
    </rPh>
    <rPh sb="13" eb="14">
      <t>ダ</t>
    </rPh>
    <rPh sb="16" eb="18">
      <t>チョウジョ</t>
    </rPh>
    <rPh sb="19" eb="20">
      <t>オ</t>
    </rPh>
    <rPh sb="21" eb="22">
      <t>ツ</t>
    </rPh>
    <rPh sb="28" eb="30">
      <t>キョウ</t>
    </rPh>
    <rPh sb="31" eb="34">
      <t>ネブソク</t>
    </rPh>
    <rPh sb="40" eb="41">
      <t>ナ</t>
    </rPh>
    <phoneticPr fontId="1"/>
  </si>
  <si>
    <t>これが終わったら風呂に入ると言っていたのに新しいことを始めたため注意。泣き出す</t>
    <rPh sb="3" eb="4">
      <t>オ</t>
    </rPh>
    <rPh sb="8" eb="10">
      <t>フロ</t>
    </rPh>
    <rPh sb="11" eb="12">
      <t>ハイ</t>
    </rPh>
    <rPh sb="14" eb="15">
      <t>イ</t>
    </rPh>
    <rPh sb="21" eb="22">
      <t>アタラ</t>
    </rPh>
    <rPh sb="27" eb="28">
      <t>ハジ</t>
    </rPh>
    <rPh sb="32" eb="34">
      <t>チュウイ</t>
    </rPh>
    <rPh sb="35" eb="36">
      <t>ナ</t>
    </rPh>
    <rPh sb="37" eb="38">
      <t>ダ</t>
    </rPh>
    <phoneticPr fontId="1"/>
  </si>
  <si>
    <t>月目標(5:00起き)</t>
    <rPh sb="0" eb="1">
      <t>ツキ</t>
    </rPh>
    <rPh sb="1" eb="3">
      <t>モクヒョウ</t>
    </rPh>
    <rPh sb="8" eb="9">
      <t>オ</t>
    </rPh>
    <phoneticPr fontId="1"/>
  </si>
  <si>
    <t>下の子が路上で泣いて動かないのを、鷹揚というより我慢。</t>
    <rPh sb="0" eb="1">
      <t>シタ</t>
    </rPh>
    <rPh sb="2" eb="3">
      <t>コ</t>
    </rPh>
    <rPh sb="4" eb="6">
      <t>ロジョウ</t>
    </rPh>
    <rPh sb="7" eb="8">
      <t>ナ</t>
    </rPh>
    <rPh sb="10" eb="11">
      <t>ウゴ</t>
    </rPh>
    <rPh sb="17" eb="19">
      <t>オウヨウ</t>
    </rPh>
    <rPh sb="24" eb="26">
      <t>ガマン</t>
    </rPh>
    <phoneticPr fontId="1"/>
  </si>
  <si>
    <t>エアコンの掃除を初めて完遂</t>
    <rPh sb="5" eb="7">
      <t>ソウジ</t>
    </rPh>
    <rPh sb="8" eb="9">
      <t>ハジ</t>
    </rPh>
    <rPh sb="11" eb="13">
      <t>カンスイ</t>
    </rPh>
    <phoneticPr fontId="1"/>
  </si>
  <si>
    <t>ご飯を座って食べるかどうかで上の子が泣いても追及を止めなかった</t>
    <rPh sb="1" eb="2">
      <t>ハン</t>
    </rPh>
    <rPh sb="3" eb="4">
      <t>スワ</t>
    </rPh>
    <rPh sb="6" eb="7">
      <t>タ</t>
    </rPh>
    <rPh sb="14" eb="15">
      <t>ウエ</t>
    </rPh>
    <rPh sb="16" eb="17">
      <t>コ</t>
    </rPh>
    <rPh sb="18" eb="19">
      <t>ナ</t>
    </rPh>
    <rPh sb="22" eb="24">
      <t>ツイキュウ</t>
    </rPh>
    <rPh sb="25" eb="26">
      <t>ト</t>
    </rPh>
    <phoneticPr fontId="1"/>
  </si>
  <si>
    <t>自転車後部シートにもたれかかるのを注意して喧嘩。乗る前に確認することに</t>
    <rPh sb="0" eb="3">
      <t>ジテンシャ</t>
    </rPh>
    <rPh sb="3" eb="5">
      <t>コウブ</t>
    </rPh>
    <rPh sb="17" eb="19">
      <t>チュウイ</t>
    </rPh>
    <rPh sb="21" eb="23">
      <t>ケンカ</t>
    </rPh>
    <rPh sb="24" eb="25">
      <t>ノ</t>
    </rPh>
    <rPh sb="26" eb="27">
      <t>マエ</t>
    </rPh>
    <rPh sb="28" eb="30">
      <t>カクニン</t>
    </rPh>
    <phoneticPr fontId="1"/>
  </si>
  <si>
    <t>公文をしないことで苛々。フォークで水で飲んでいたためコップを取り上げ。</t>
    <rPh sb="0" eb="2">
      <t>クモン</t>
    </rPh>
    <rPh sb="9" eb="11">
      <t>イライラ</t>
    </rPh>
    <rPh sb="17" eb="18">
      <t>ミズ</t>
    </rPh>
    <rPh sb="19" eb="20">
      <t>ノ</t>
    </rPh>
    <rPh sb="30" eb="31">
      <t>ト</t>
    </rPh>
    <rPh sb="32" eb="33">
      <t>ア</t>
    </rPh>
    <phoneticPr fontId="1"/>
  </si>
  <si>
    <t>拾っていた落ち葉等を、必要だとして手を払われて苛々</t>
    <rPh sb="0" eb="1">
      <t>ヒロ</t>
    </rPh>
    <rPh sb="5" eb="6">
      <t>オ</t>
    </rPh>
    <rPh sb="7" eb="8">
      <t>バ</t>
    </rPh>
    <rPh sb="8" eb="9">
      <t>トウ</t>
    </rPh>
    <rPh sb="11" eb="13">
      <t>ヒツヨウ</t>
    </rPh>
    <rPh sb="17" eb="18">
      <t>テ</t>
    </rPh>
    <rPh sb="19" eb="20">
      <t>ハラ</t>
    </rPh>
    <rPh sb="23" eb="25">
      <t>イライラ</t>
    </rPh>
    <phoneticPr fontId="1"/>
  </si>
  <si>
    <t>ママの話をろくに聞かず自分の話をしようとするところから始まり大泣き。下の子も大泣き。</t>
    <rPh sb="3" eb="4">
      <t>ハナシ</t>
    </rPh>
    <rPh sb="8" eb="9">
      <t>キ</t>
    </rPh>
    <rPh sb="11" eb="13">
      <t>ジブン</t>
    </rPh>
    <rPh sb="14" eb="15">
      <t>ハナシ</t>
    </rPh>
    <rPh sb="27" eb="28">
      <t>ハジ</t>
    </rPh>
    <rPh sb="30" eb="32">
      <t>オオナ</t>
    </rPh>
    <rPh sb="34" eb="35">
      <t>シタ</t>
    </rPh>
    <rPh sb="36" eb="37">
      <t>コ</t>
    </rPh>
    <rPh sb="38" eb="40">
      <t>オオナ</t>
    </rPh>
    <phoneticPr fontId="1"/>
  </si>
  <si>
    <t>レンタル布団ではしゃぐなどして</t>
    <rPh sb="4" eb="6">
      <t>フトン</t>
    </rPh>
    <phoneticPr fontId="1"/>
  </si>
  <si>
    <t>疲れのせいか久しぶりに暴言を吐く。元は約束を守らずに片づけないことから。</t>
    <rPh sb="0" eb="1">
      <t>ツカ</t>
    </rPh>
    <rPh sb="6" eb="7">
      <t>ヒサ</t>
    </rPh>
    <rPh sb="11" eb="13">
      <t>ボウゲン</t>
    </rPh>
    <rPh sb="14" eb="15">
      <t>ハ</t>
    </rPh>
    <rPh sb="17" eb="18">
      <t>モト</t>
    </rPh>
    <rPh sb="19" eb="21">
      <t>ヤクソク</t>
    </rPh>
    <rPh sb="22" eb="23">
      <t>マモ</t>
    </rPh>
    <rPh sb="26" eb="27">
      <t>カタ</t>
    </rPh>
    <phoneticPr fontId="1"/>
  </si>
  <si>
    <t>朝は怒ったが、夜は公文を渋る中、開始するまで我慢強く笑いながら相手できた。公文に集中しないと苛々してしまうので何とかしないと</t>
    <rPh sb="0" eb="1">
      <t>アサ</t>
    </rPh>
    <rPh sb="2" eb="3">
      <t>オコ</t>
    </rPh>
    <rPh sb="7" eb="8">
      <t>ヨル</t>
    </rPh>
    <rPh sb="9" eb="11">
      <t>クモン</t>
    </rPh>
    <rPh sb="12" eb="13">
      <t>シブ</t>
    </rPh>
    <rPh sb="14" eb="15">
      <t>ナカ</t>
    </rPh>
    <rPh sb="16" eb="18">
      <t>カイシ</t>
    </rPh>
    <rPh sb="22" eb="25">
      <t>ガマンヅヨ</t>
    </rPh>
    <rPh sb="26" eb="27">
      <t>ワラ</t>
    </rPh>
    <rPh sb="31" eb="33">
      <t>アイテ</t>
    </rPh>
    <rPh sb="37" eb="39">
      <t>クモン</t>
    </rPh>
    <rPh sb="40" eb="42">
      <t>シュウチュウ</t>
    </rPh>
    <rPh sb="46" eb="48">
      <t>イライラ</t>
    </rPh>
    <rPh sb="55" eb="56">
      <t>ナン</t>
    </rPh>
    <phoneticPr fontId="1"/>
  </si>
  <si>
    <t>5時に起きたのに、二度寝してしまう</t>
    <rPh sb="1" eb="2">
      <t>ジ</t>
    </rPh>
    <rPh sb="3" eb="4">
      <t>オ</t>
    </rPh>
    <rPh sb="9" eb="12">
      <t>ニドネ</t>
    </rPh>
    <phoneticPr fontId="1"/>
  </si>
  <si>
    <t>公文の途中で寝てしまうので、公文を辞めろと喧嘩に</t>
    <rPh sb="0" eb="2">
      <t>クモン</t>
    </rPh>
    <rPh sb="3" eb="5">
      <t>トチュウ</t>
    </rPh>
    <rPh sb="6" eb="7">
      <t>ネ</t>
    </rPh>
    <rPh sb="14" eb="16">
      <t>クモン</t>
    </rPh>
    <rPh sb="17" eb="18">
      <t>ヤ</t>
    </rPh>
    <rPh sb="21" eb="23">
      <t>ケンカ</t>
    </rPh>
    <phoneticPr fontId="1"/>
  </si>
  <si>
    <t>遊んでいて薬を飲むのは約束していない、と怒ってきた所に反応してしまう</t>
    <rPh sb="0" eb="1">
      <t>アソ</t>
    </rPh>
    <rPh sb="5" eb="6">
      <t>クスリ</t>
    </rPh>
    <rPh sb="7" eb="8">
      <t>ノ</t>
    </rPh>
    <rPh sb="11" eb="13">
      <t>ヤクソク</t>
    </rPh>
    <rPh sb="20" eb="21">
      <t>オコ</t>
    </rPh>
    <rPh sb="25" eb="26">
      <t>トコロ</t>
    </rPh>
    <rPh sb="27" eb="29">
      <t>ハンノウ</t>
    </rPh>
    <phoneticPr fontId="1"/>
  </si>
  <si>
    <t>英語の復習が足りない。毎日＋5分</t>
    <rPh sb="0" eb="2">
      <t>エイゴ</t>
    </rPh>
    <rPh sb="3" eb="5">
      <t>フクシュウ</t>
    </rPh>
    <rPh sb="6" eb="7">
      <t>タ</t>
    </rPh>
    <rPh sb="11" eb="13">
      <t>マイニチ</t>
    </rPh>
    <rPh sb="15" eb="16">
      <t>フン</t>
    </rPh>
    <phoneticPr fontId="1"/>
  </si>
  <si>
    <t>公文を途中で放棄</t>
    <rPh sb="0" eb="2">
      <t>クモン</t>
    </rPh>
    <rPh sb="3" eb="5">
      <t>トチュウ</t>
    </rPh>
    <rPh sb="6" eb="8">
      <t>ホウキ</t>
    </rPh>
    <phoneticPr fontId="1"/>
  </si>
  <si>
    <t>駐輪場まで上の子が抱っこをせがんで喧嘩</t>
    <rPh sb="0" eb="3">
      <t>チュウリンジョウ</t>
    </rPh>
    <rPh sb="5" eb="6">
      <t>ウエ</t>
    </rPh>
    <rPh sb="7" eb="8">
      <t>コ</t>
    </rPh>
    <rPh sb="9" eb="10">
      <t>ダ</t>
    </rPh>
    <rPh sb="17" eb="19">
      <t>ケンカ</t>
    </rPh>
    <phoneticPr fontId="1"/>
  </si>
  <si>
    <t>task</t>
    <phoneticPr fontId="1"/>
  </si>
  <si>
    <t>かなり怒った。公文？</t>
    <rPh sb="3" eb="4">
      <t>オコ</t>
    </rPh>
    <rPh sb="7" eb="9">
      <t>クモン</t>
    </rPh>
    <phoneticPr fontId="1"/>
  </si>
  <si>
    <t>座って食べないことで喧嘩に。</t>
    <rPh sb="0" eb="1">
      <t>スワ</t>
    </rPh>
    <rPh sb="3" eb="4">
      <t>タ</t>
    </rPh>
    <rPh sb="10" eb="12">
      <t>ケンカ</t>
    </rPh>
    <phoneticPr fontId="1"/>
  </si>
  <si>
    <t>本のまとめ・振り返り</t>
    <rPh sb="0" eb="1">
      <t>ホン</t>
    </rPh>
    <rPh sb="6" eb="7">
      <t>フ</t>
    </rPh>
    <rPh sb="8" eb="9">
      <t>カエ</t>
    </rPh>
    <phoneticPr fontId="1"/>
  </si>
  <si>
    <t>新しいことを勉強</t>
    <rPh sb="0" eb="1">
      <t>アタラ</t>
    </rPh>
    <rPh sb="6" eb="8">
      <t>ベンキョウ</t>
    </rPh>
    <phoneticPr fontId="1"/>
  </si>
  <si>
    <t>仕事始め。プッシュポップをしながら朝食をとっているのを見て怒る</t>
    <rPh sb="0" eb="3">
      <t>シゴトハジ</t>
    </rPh>
    <rPh sb="17" eb="19">
      <t>チョウショク</t>
    </rPh>
    <rPh sb="27" eb="28">
      <t>ミ</t>
    </rPh>
    <rPh sb="29" eb="30">
      <t>オコ</t>
    </rPh>
    <phoneticPr fontId="1"/>
  </si>
  <si>
    <t>朝から不安定でちんたらしているところを怒鳴る</t>
    <rPh sb="0" eb="1">
      <t>アサ</t>
    </rPh>
    <rPh sb="3" eb="6">
      <t>フアンテイ</t>
    </rPh>
    <rPh sb="19" eb="21">
      <t>ドナ</t>
    </rPh>
    <phoneticPr fontId="1"/>
  </si>
  <si>
    <t>公文から調子悪い。ずるを見とがめて認めさせる行為は不要だった。</t>
    <rPh sb="0" eb="2">
      <t>クモン</t>
    </rPh>
    <rPh sb="4" eb="7">
      <t>チョウシワル</t>
    </rPh>
    <rPh sb="12" eb="13">
      <t>ミ</t>
    </rPh>
    <rPh sb="17" eb="18">
      <t>ミト</t>
    </rPh>
    <rPh sb="22" eb="24">
      <t>コウイ</t>
    </rPh>
    <rPh sb="25" eb="27">
      <t>フヨウ</t>
    </rPh>
    <phoneticPr fontId="1"/>
  </si>
  <si>
    <t>清掃業者が来る前に帰りたいのに、プール後に水をゆっくり3杯飲んだり、寒さを訴えて自転車に乗らなかったりで苛々。</t>
    <rPh sb="0" eb="4">
      <t>セイソウギョウシャ</t>
    </rPh>
    <rPh sb="5" eb="6">
      <t>ク</t>
    </rPh>
    <rPh sb="7" eb="8">
      <t>マエ</t>
    </rPh>
    <rPh sb="9" eb="10">
      <t>カエ</t>
    </rPh>
    <rPh sb="19" eb="20">
      <t>ゴ</t>
    </rPh>
    <rPh sb="21" eb="22">
      <t>ミズ</t>
    </rPh>
    <rPh sb="28" eb="30">
      <t>バイノ</t>
    </rPh>
    <rPh sb="34" eb="35">
      <t>サム</t>
    </rPh>
    <rPh sb="37" eb="38">
      <t>ウッタ</t>
    </rPh>
    <rPh sb="40" eb="43">
      <t>ジテンシャ</t>
    </rPh>
    <rPh sb="44" eb="45">
      <t>ノ</t>
    </rPh>
    <rPh sb="52" eb="54">
      <t>イライラ</t>
    </rPh>
    <phoneticPr fontId="1"/>
  </si>
  <si>
    <t>おもちゃ箱から大量のおもちゃをベッドに持って行く。帰ってきたら昼寝をしたいのに外出できない、と伝える。2分で遊び終えて片付けるという。ただし片づけを手伝って、と何度か要望。手が空いてたら手伝うけど、基本的には自分で片づけるよう伝える。2分後遊びを止められたが、片づけを手伝うように言ってくる。とりあえず自分で片づけ始めるように言うが、徐々に片づけが嫌になって高圧的に手伝うように言ってきて喧嘩。</t>
    <rPh sb="4" eb="5">
      <t>バコ</t>
    </rPh>
    <rPh sb="7" eb="9">
      <t>タイリョウ</t>
    </rPh>
    <rPh sb="19" eb="20">
      <t>モ</t>
    </rPh>
    <rPh sb="22" eb="23">
      <t>イ</t>
    </rPh>
    <rPh sb="25" eb="26">
      <t>カエ</t>
    </rPh>
    <rPh sb="31" eb="33">
      <t>ヒルネ</t>
    </rPh>
    <rPh sb="39" eb="41">
      <t>ガイシュツ</t>
    </rPh>
    <rPh sb="47" eb="48">
      <t>ツタ</t>
    </rPh>
    <rPh sb="52" eb="53">
      <t>フン</t>
    </rPh>
    <rPh sb="54" eb="55">
      <t>アソ</t>
    </rPh>
    <rPh sb="56" eb="57">
      <t>オ</t>
    </rPh>
    <rPh sb="59" eb="61">
      <t>カタヅ</t>
    </rPh>
    <rPh sb="70" eb="71">
      <t>カタ</t>
    </rPh>
    <rPh sb="74" eb="76">
      <t>テツダ</t>
    </rPh>
    <rPh sb="80" eb="82">
      <t>ナンド</t>
    </rPh>
    <rPh sb="83" eb="85">
      <t>ヨウボウ</t>
    </rPh>
    <rPh sb="86" eb="87">
      <t>テ</t>
    </rPh>
    <rPh sb="88" eb="89">
      <t>ア</t>
    </rPh>
    <rPh sb="93" eb="95">
      <t>テツダ</t>
    </rPh>
    <rPh sb="99" eb="102">
      <t>キホンテキ</t>
    </rPh>
    <rPh sb="104" eb="106">
      <t>ジブン</t>
    </rPh>
    <rPh sb="107" eb="108">
      <t>カタ</t>
    </rPh>
    <rPh sb="113" eb="114">
      <t>ツタ</t>
    </rPh>
    <rPh sb="118" eb="120">
      <t>フンゴ</t>
    </rPh>
    <rPh sb="120" eb="121">
      <t>アソ</t>
    </rPh>
    <rPh sb="123" eb="124">
      <t>ト</t>
    </rPh>
    <rPh sb="130" eb="131">
      <t>カタ</t>
    </rPh>
    <rPh sb="134" eb="136">
      <t>テツダ</t>
    </rPh>
    <rPh sb="140" eb="141">
      <t>イ</t>
    </rPh>
    <rPh sb="151" eb="153">
      <t>ジブン</t>
    </rPh>
    <rPh sb="154" eb="155">
      <t>カタ</t>
    </rPh>
    <rPh sb="157" eb="158">
      <t>ハジ</t>
    </rPh>
    <rPh sb="163" eb="164">
      <t>イ</t>
    </rPh>
    <rPh sb="167" eb="169">
      <t>ジョジョ</t>
    </rPh>
    <rPh sb="170" eb="171">
      <t>カタ</t>
    </rPh>
    <rPh sb="174" eb="175">
      <t>イヤ</t>
    </rPh>
    <rPh sb="179" eb="182">
      <t>コウアツテキ</t>
    </rPh>
    <rPh sb="183" eb="185">
      <t>テツダ</t>
    </rPh>
    <rPh sb="189" eb="190">
      <t>イ</t>
    </rPh>
    <rPh sb="194" eb="196">
      <t>ケンカ</t>
    </rPh>
    <phoneticPr fontId="1"/>
  </si>
  <si>
    <t>寝る準備が遅いとなぜか苛々。</t>
    <rPh sb="0" eb="1">
      <t>ネ</t>
    </rPh>
    <rPh sb="2" eb="4">
      <t>ジュンビ</t>
    </rPh>
    <rPh sb="5" eb="6">
      <t>オソ</t>
    </rPh>
    <rPh sb="11" eb="13">
      <t>イライラ</t>
    </rPh>
    <phoneticPr fontId="1"/>
  </si>
  <si>
    <t>園内では髪を一つにまとめていいか分からないなどグダグダ続けるので怒った。コップに戻した薬を最後まで飲ませた</t>
    <rPh sb="0" eb="2">
      <t>エンナイ</t>
    </rPh>
    <rPh sb="4" eb="5">
      <t>カミ</t>
    </rPh>
    <rPh sb="6" eb="7">
      <t>ヒト</t>
    </rPh>
    <rPh sb="16" eb="17">
      <t>ワ</t>
    </rPh>
    <rPh sb="27" eb="28">
      <t>ツヅ</t>
    </rPh>
    <rPh sb="32" eb="33">
      <t>オコ</t>
    </rPh>
    <rPh sb="40" eb="41">
      <t>モド</t>
    </rPh>
    <rPh sb="43" eb="44">
      <t>クスリ</t>
    </rPh>
    <rPh sb="45" eb="47">
      <t>サイゴ</t>
    </rPh>
    <rPh sb="49" eb="50">
      <t>ノ</t>
    </rPh>
    <phoneticPr fontId="1"/>
  </si>
  <si>
    <t>朝起きてこなくて苛々</t>
    <rPh sb="0" eb="1">
      <t>アサ</t>
    </rPh>
    <rPh sb="1" eb="2">
      <t>オ</t>
    </rPh>
    <rPh sb="8" eb="10">
      <t>イライラ</t>
    </rPh>
    <phoneticPr fontId="1"/>
  </si>
  <si>
    <t>体調が悪い&amp;ワンオペで&amp;お菓子の分量などで始終苛々</t>
    <rPh sb="0" eb="2">
      <t>タイチョウ</t>
    </rPh>
    <rPh sb="3" eb="4">
      <t>ワル</t>
    </rPh>
    <rPh sb="13" eb="15">
      <t>カシ</t>
    </rPh>
    <rPh sb="16" eb="18">
      <t>ブンリョウ</t>
    </rPh>
    <rPh sb="21" eb="23">
      <t>シジュウ</t>
    </rPh>
    <rPh sb="23" eb="25">
      <t>イライラ</t>
    </rPh>
    <phoneticPr fontId="1"/>
  </si>
  <si>
    <t>行数</t>
    <rPh sb="0" eb="1">
      <t>ギョウ</t>
    </rPh>
    <rPh sb="1" eb="2">
      <t>スウ</t>
    </rPh>
    <phoneticPr fontId="1"/>
  </si>
  <si>
    <t>薬の服用を待たせて、やめるように言っていたにもかかわらず絵をかき始めたので怒る</t>
    <rPh sb="0" eb="1">
      <t>クスリ</t>
    </rPh>
    <rPh sb="2" eb="4">
      <t>フクヨウ</t>
    </rPh>
    <rPh sb="5" eb="6">
      <t>マ</t>
    </rPh>
    <rPh sb="16" eb="17">
      <t>イ</t>
    </rPh>
    <rPh sb="28" eb="29">
      <t>エ</t>
    </rPh>
    <rPh sb="32" eb="33">
      <t>ハジ</t>
    </rPh>
    <rPh sb="37" eb="38">
      <t>オコ</t>
    </rPh>
    <phoneticPr fontId="1"/>
  </si>
  <si>
    <t>上の子の書き順を指摘して喧嘩、下の子がおむつを履かずにママがいいとうるさいのでおむつを破って投げ捨てる。上の子が泣く</t>
    <rPh sb="0" eb="1">
      <t>ウエ</t>
    </rPh>
    <rPh sb="2" eb="3">
      <t>コ</t>
    </rPh>
    <rPh sb="4" eb="5">
      <t>カ</t>
    </rPh>
    <rPh sb="6" eb="7">
      <t>ジュン</t>
    </rPh>
    <rPh sb="8" eb="10">
      <t>シテキ</t>
    </rPh>
    <rPh sb="12" eb="14">
      <t>ケンカ</t>
    </rPh>
    <rPh sb="15" eb="16">
      <t>シタ</t>
    </rPh>
    <rPh sb="17" eb="18">
      <t>コ</t>
    </rPh>
    <rPh sb="23" eb="24">
      <t>ハ</t>
    </rPh>
    <rPh sb="43" eb="44">
      <t>ヤブ</t>
    </rPh>
    <rPh sb="46" eb="47">
      <t>ナ</t>
    </rPh>
    <rPh sb="48" eb="49">
      <t>ス</t>
    </rPh>
    <rPh sb="52" eb="53">
      <t>ウエ</t>
    </rPh>
    <rPh sb="54" eb="55">
      <t>コ</t>
    </rPh>
    <rPh sb="56" eb="57">
      <t>ナ</t>
    </rPh>
    <phoneticPr fontId="1"/>
  </si>
  <si>
    <t>おやつのチョコの分量をめぐって喧嘩。毎回ルールがないことでもめることに腹が立つ</t>
    <rPh sb="8" eb="10">
      <t>ブンリョウ</t>
    </rPh>
    <rPh sb="15" eb="17">
      <t>ケンカ</t>
    </rPh>
    <rPh sb="18" eb="20">
      <t>マイカイ</t>
    </rPh>
    <rPh sb="35" eb="36">
      <t>ハラ</t>
    </rPh>
    <rPh sb="37" eb="38">
      <t>タ</t>
    </rPh>
    <phoneticPr fontId="1"/>
  </si>
  <si>
    <t>鼻くそを注意して泣かれる＋トイレに行かず座布団で寝ていることを注意して泣かれる＋注意のエスカレート</t>
    <rPh sb="0" eb="1">
      <t>ハナ</t>
    </rPh>
    <rPh sb="4" eb="6">
      <t>チュウイ</t>
    </rPh>
    <rPh sb="8" eb="9">
      <t>ナ</t>
    </rPh>
    <rPh sb="17" eb="18">
      <t>イ</t>
    </rPh>
    <rPh sb="20" eb="23">
      <t>ザブトン</t>
    </rPh>
    <rPh sb="24" eb="25">
      <t>ネ</t>
    </rPh>
    <rPh sb="31" eb="33">
      <t>チュウイ</t>
    </rPh>
    <rPh sb="35" eb="36">
      <t>ナ</t>
    </rPh>
    <rPh sb="40" eb="42">
      <t>チュウイ</t>
    </rPh>
    <phoneticPr fontId="1"/>
  </si>
  <si>
    <t>下の子がウンチをするために風呂から出てきたのに遊びだし、自分の自由時間が削られて苛々。その気分を上の子に対しても引きずる</t>
    <rPh sb="0" eb="1">
      <t>シタ</t>
    </rPh>
    <rPh sb="2" eb="3">
      <t>コ</t>
    </rPh>
    <rPh sb="13" eb="15">
      <t>フロ</t>
    </rPh>
    <rPh sb="17" eb="18">
      <t>デ</t>
    </rPh>
    <rPh sb="23" eb="24">
      <t>アソ</t>
    </rPh>
    <rPh sb="28" eb="30">
      <t>ジブン</t>
    </rPh>
    <rPh sb="31" eb="35">
      <t>ジユウジカン</t>
    </rPh>
    <rPh sb="36" eb="37">
      <t>ケズ</t>
    </rPh>
    <rPh sb="40" eb="42">
      <t>イライラ</t>
    </rPh>
    <rPh sb="45" eb="47">
      <t>キブン</t>
    </rPh>
    <rPh sb="48" eb="49">
      <t>ウエ</t>
    </rPh>
    <rPh sb="50" eb="51">
      <t>コ</t>
    </rPh>
    <rPh sb="52" eb="53">
      <t>タイ</t>
    </rPh>
    <rPh sb="56" eb="57">
      <t>ヒ</t>
    </rPh>
    <phoneticPr fontId="1"/>
  </si>
  <si>
    <t>食事をせずトランプの仕分けに夢中。親の機嫌次第で怒られるぞと忠告中に怒りが増してくる</t>
    <rPh sb="0" eb="2">
      <t>ショクジ</t>
    </rPh>
    <rPh sb="10" eb="12">
      <t>シワ</t>
    </rPh>
    <rPh sb="14" eb="16">
      <t>ムチュウ</t>
    </rPh>
    <rPh sb="17" eb="18">
      <t>オヤ</t>
    </rPh>
    <rPh sb="19" eb="23">
      <t>キゲンシダイ</t>
    </rPh>
    <rPh sb="24" eb="25">
      <t>オコ</t>
    </rPh>
    <rPh sb="30" eb="33">
      <t>チュウコクチュウ</t>
    </rPh>
    <rPh sb="34" eb="35">
      <t>イカ</t>
    </rPh>
    <rPh sb="37" eb="38">
      <t>マ</t>
    </rPh>
    <phoneticPr fontId="1"/>
  </si>
  <si>
    <t>上の子から水を取ってきて、自分で取ってこい、で喧嘩</t>
    <rPh sb="0" eb="1">
      <t>ウエ</t>
    </rPh>
    <rPh sb="2" eb="3">
      <t>コ</t>
    </rPh>
    <rPh sb="5" eb="6">
      <t>ミズ</t>
    </rPh>
    <rPh sb="7" eb="8">
      <t>ト</t>
    </rPh>
    <rPh sb="13" eb="15">
      <t>ジブン</t>
    </rPh>
    <rPh sb="16" eb="17">
      <t>ト</t>
    </rPh>
    <rPh sb="23" eb="25">
      <t>ケンカ</t>
    </rPh>
    <phoneticPr fontId="1"/>
  </si>
  <si>
    <t>鷹揚(愉快)</t>
    <rPh sb="3" eb="5">
      <t>ユカイ</t>
    </rPh>
    <phoneticPr fontId="1"/>
  </si>
  <si>
    <t>雨の中、下の子を自転車に乗せる間に長子の傘が当たっていて怒る。それ以前に朝から細かいことで腹を立てがちだった。</t>
    <rPh sb="0" eb="1">
      <t>アメ</t>
    </rPh>
    <rPh sb="2" eb="3">
      <t>ナカ</t>
    </rPh>
    <rPh sb="4" eb="5">
      <t>シタ</t>
    </rPh>
    <rPh sb="6" eb="7">
      <t>コ</t>
    </rPh>
    <rPh sb="8" eb="11">
      <t>ジテンシャ</t>
    </rPh>
    <rPh sb="12" eb="13">
      <t>ノ</t>
    </rPh>
    <rPh sb="15" eb="16">
      <t>アイダ</t>
    </rPh>
    <rPh sb="17" eb="19">
      <t>チョウシ</t>
    </rPh>
    <rPh sb="20" eb="21">
      <t>カサ</t>
    </rPh>
    <rPh sb="22" eb="23">
      <t>ア</t>
    </rPh>
    <rPh sb="28" eb="29">
      <t>オコ</t>
    </rPh>
    <rPh sb="33" eb="35">
      <t>イゼン</t>
    </rPh>
    <rPh sb="36" eb="37">
      <t>アサ</t>
    </rPh>
    <rPh sb="39" eb="40">
      <t>コマ</t>
    </rPh>
    <rPh sb="45" eb="46">
      <t>ハラ</t>
    </rPh>
    <rPh sb="47" eb="48">
      <t>タ</t>
    </rPh>
    <phoneticPr fontId="1"/>
  </si>
  <si>
    <t>プールで言うことを聞かず（まだ時間になってないのに道具をプールの水に浸けようとしたり、先に帽子をかぶろうとしなかったり）。後半は子供の言うことばかり聞いているうちに苛々。衝突しなかったことだけ幸い。</t>
    <rPh sb="4" eb="5">
      <t>イ</t>
    </rPh>
    <rPh sb="9" eb="10">
      <t>キ</t>
    </rPh>
    <rPh sb="15" eb="17">
      <t>ジカン</t>
    </rPh>
    <rPh sb="25" eb="27">
      <t>ドウグ</t>
    </rPh>
    <rPh sb="32" eb="33">
      <t>ミズ</t>
    </rPh>
    <rPh sb="34" eb="35">
      <t>ツ</t>
    </rPh>
    <rPh sb="43" eb="44">
      <t>サキ</t>
    </rPh>
    <rPh sb="45" eb="47">
      <t>ボウシ</t>
    </rPh>
    <rPh sb="61" eb="63">
      <t>コウハン</t>
    </rPh>
    <rPh sb="64" eb="66">
      <t>コドモ</t>
    </rPh>
    <rPh sb="67" eb="68">
      <t>イ</t>
    </rPh>
    <rPh sb="74" eb="75">
      <t>キ</t>
    </rPh>
    <rPh sb="82" eb="84">
      <t>イライラ</t>
    </rPh>
    <rPh sb="85" eb="87">
      <t>ショウトツ</t>
    </rPh>
    <rPh sb="96" eb="97">
      <t>サイワ</t>
    </rPh>
    <phoneticPr fontId="1"/>
  </si>
  <si>
    <t>菓子の量で揉める</t>
    <rPh sb="0" eb="2">
      <t>カシ</t>
    </rPh>
    <rPh sb="3" eb="4">
      <t>リョウ</t>
    </rPh>
    <rPh sb="5" eb="6">
      <t>モ</t>
    </rPh>
    <phoneticPr fontId="1"/>
  </si>
  <si>
    <t>「卵焼きを食べてあげる」と言う発言を巡って。もっと優しく教えるべきだった</t>
    <rPh sb="1" eb="3">
      <t>タマゴヤ</t>
    </rPh>
    <rPh sb="5" eb="6">
      <t>タ</t>
    </rPh>
    <rPh sb="13" eb="14">
      <t>イ</t>
    </rPh>
    <rPh sb="15" eb="17">
      <t>ハツゲン</t>
    </rPh>
    <rPh sb="18" eb="19">
      <t>メグ</t>
    </rPh>
    <rPh sb="25" eb="26">
      <t>ヤサ</t>
    </rPh>
    <rPh sb="28" eb="29">
      <t>オシ</t>
    </rPh>
    <phoneticPr fontId="1"/>
  </si>
  <si>
    <t>ドアを開けると言って聞かず、足を引っかけて転びそうになる</t>
    <rPh sb="3" eb="4">
      <t>ア</t>
    </rPh>
    <rPh sb="7" eb="8">
      <t>イ</t>
    </rPh>
    <rPh sb="10" eb="11">
      <t>キ</t>
    </rPh>
    <rPh sb="14" eb="15">
      <t>アシ</t>
    </rPh>
    <rPh sb="16" eb="17">
      <t>ヒ</t>
    </rPh>
    <rPh sb="21" eb="22">
      <t>コロ</t>
    </rPh>
    <phoneticPr fontId="1"/>
  </si>
  <si>
    <t>公文をやりたくないとうだうだ言うから「辞めちまえ！」と</t>
    <rPh sb="0" eb="2">
      <t>クモン</t>
    </rPh>
    <rPh sb="14" eb="15">
      <t>イ</t>
    </rPh>
    <rPh sb="19" eb="20">
      <t>ヤ</t>
    </rPh>
    <phoneticPr fontId="1"/>
  </si>
  <si>
    <t>夏祭りで折り紙が上手に折れずに、ママがいいと泣き出す。上の子は上手に紙を折れるので帰りたくないと。家に帰っても上の子が慰めるまでずっと泣いてた</t>
    <rPh sb="0" eb="2">
      <t>ナツマツ</t>
    </rPh>
    <rPh sb="4" eb="5">
      <t>オ</t>
    </rPh>
    <rPh sb="22" eb="23">
      <t>ナ</t>
    </rPh>
    <rPh sb="24" eb="25">
      <t>ダ</t>
    </rPh>
    <rPh sb="27" eb="28">
      <t>ウエ</t>
    </rPh>
    <rPh sb="29" eb="30">
      <t>コ</t>
    </rPh>
    <rPh sb="31" eb="33">
      <t>ジョウズ</t>
    </rPh>
    <rPh sb="34" eb="35">
      <t>カミ</t>
    </rPh>
    <rPh sb="36" eb="37">
      <t>オ</t>
    </rPh>
    <rPh sb="41" eb="42">
      <t>カエ</t>
    </rPh>
    <rPh sb="49" eb="50">
      <t>イエ</t>
    </rPh>
    <rPh sb="51" eb="52">
      <t>カエ</t>
    </rPh>
    <rPh sb="55" eb="56">
      <t>ウエ</t>
    </rPh>
    <rPh sb="57" eb="58">
      <t>コ</t>
    </rPh>
    <rPh sb="59" eb="60">
      <t>ナグサ</t>
    </rPh>
    <rPh sb="67" eb="68">
      <t>ナ</t>
    </rPh>
    <phoneticPr fontId="1"/>
  </si>
  <si>
    <t>ママが遊びに出かけた後、ずっと玄関で「ママがいい」と泣いている。泣き止ます術を知らない</t>
    <rPh sb="3" eb="4">
      <t>アソ</t>
    </rPh>
    <rPh sb="6" eb="7">
      <t>デ</t>
    </rPh>
    <rPh sb="10" eb="11">
      <t>アト</t>
    </rPh>
    <rPh sb="15" eb="17">
      <t>ゲンカン</t>
    </rPh>
    <rPh sb="26" eb="27">
      <t>ナ</t>
    </rPh>
    <rPh sb="32" eb="33">
      <t>ナ</t>
    </rPh>
    <rPh sb="34" eb="35">
      <t>ヤ</t>
    </rPh>
    <rPh sb="37" eb="38">
      <t>スベ</t>
    </rPh>
    <rPh sb="39" eb="40">
      <t>シ</t>
    </rPh>
    <phoneticPr fontId="1"/>
  </si>
  <si>
    <t>公文を始めずに検温を繰り返そうとして、下らない言い訳をしたため。こちらが感情的になった時点でだめ。</t>
    <rPh sb="0" eb="2">
      <t>クモン</t>
    </rPh>
    <rPh sb="3" eb="4">
      <t>ハジ</t>
    </rPh>
    <rPh sb="7" eb="9">
      <t>ケンオン</t>
    </rPh>
    <rPh sb="10" eb="11">
      <t>ク</t>
    </rPh>
    <rPh sb="12" eb="13">
      <t>カエ</t>
    </rPh>
    <rPh sb="19" eb="20">
      <t>クダ</t>
    </rPh>
    <rPh sb="23" eb="24">
      <t>イ</t>
    </rPh>
    <rPh sb="25" eb="26">
      <t>ワケ</t>
    </rPh>
    <rPh sb="36" eb="39">
      <t>カンジョウテキ</t>
    </rPh>
    <rPh sb="43" eb="45">
      <t>ジテン</t>
    </rPh>
    <phoneticPr fontId="1"/>
  </si>
  <si>
    <t>筋トレ1</t>
    <rPh sb="0" eb="1">
      <t>キン</t>
    </rPh>
    <phoneticPr fontId="1"/>
  </si>
  <si>
    <t>筋トレ2</t>
    <rPh sb="0" eb="1">
      <t>キン</t>
    </rPh>
    <phoneticPr fontId="1"/>
  </si>
  <si>
    <t>英語1</t>
    <rPh sb="0" eb="2">
      <t>エイゴ</t>
    </rPh>
    <phoneticPr fontId="1"/>
  </si>
  <si>
    <t>日記</t>
    <rPh sb="0" eb="2">
      <t>ニッキ</t>
    </rPh>
    <phoneticPr fontId="1"/>
  </si>
  <si>
    <t>記事</t>
    <rPh sb="0" eb="2">
      <t>キジ</t>
    </rPh>
    <phoneticPr fontId="1"/>
  </si>
  <si>
    <t>写真</t>
    <rPh sb="0" eb="2">
      <t>シャシン</t>
    </rPh>
    <phoneticPr fontId="1"/>
  </si>
  <si>
    <t>どうしてもプールで顔をつけない、他の子と同じようにしないことに腹を立てる</t>
    <rPh sb="9" eb="10">
      <t>カオ</t>
    </rPh>
    <rPh sb="16" eb="17">
      <t>ホカ</t>
    </rPh>
    <phoneticPr fontId="1"/>
  </si>
  <si>
    <t>座って昼飯を食うように促したところ怒られて泣く</t>
    <rPh sb="0" eb="1">
      <t>スワ</t>
    </rPh>
    <rPh sb="3" eb="5">
      <t>ヒルメシ</t>
    </rPh>
    <rPh sb="6" eb="7">
      <t>ク</t>
    </rPh>
    <rPh sb="11" eb="12">
      <t>ウナガ</t>
    </rPh>
    <rPh sb="17" eb="18">
      <t>オコ</t>
    </rPh>
    <rPh sb="21" eb="22">
      <t>ナ</t>
    </rPh>
    <phoneticPr fontId="1"/>
  </si>
  <si>
    <t>感想</t>
    <rPh sb="0" eb="2">
      <t>カンソウ</t>
    </rPh>
    <phoneticPr fontId="1"/>
  </si>
  <si>
    <t>朝、洗い物などをしながらなぞなぞを出されると、窓が開いていたり、こっちを向いて話していなかったりして聞き取りにくい。何度も訊き返していることを妻に笑われ「聞こえないからストレスだ」と委縮させてしまう。</t>
    <rPh sb="0" eb="1">
      <t>アサ</t>
    </rPh>
    <rPh sb="2" eb="3">
      <t>アラ</t>
    </rPh>
    <rPh sb="4" eb="5">
      <t>モノ</t>
    </rPh>
    <rPh sb="17" eb="18">
      <t>ダ</t>
    </rPh>
    <rPh sb="23" eb="24">
      <t>マド</t>
    </rPh>
    <rPh sb="36" eb="37">
      <t>ム</t>
    </rPh>
    <rPh sb="39" eb="40">
      <t>ハナ</t>
    </rPh>
    <rPh sb="50" eb="51">
      <t>キ</t>
    </rPh>
    <rPh sb="52" eb="53">
      <t>ト</t>
    </rPh>
    <rPh sb="58" eb="60">
      <t>ナンド</t>
    </rPh>
    <rPh sb="61" eb="62">
      <t>キ</t>
    </rPh>
    <rPh sb="63" eb="64">
      <t>カエ</t>
    </rPh>
    <rPh sb="71" eb="72">
      <t>ツマ</t>
    </rPh>
    <rPh sb="73" eb="74">
      <t>ワラ</t>
    </rPh>
    <rPh sb="77" eb="78">
      <t>キ</t>
    </rPh>
    <rPh sb="91" eb="93">
      <t>イシュク</t>
    </rPh>
    <phoneticPr fontId="1"/>
  </si>
  <si>
    <t>美術館に行く前の家の中から抱っこを要求され、道中も。改札で抱っこ中にスマホを落としてイラつく。また、疲れてた状態だとやはりイラつきやすい</t>
    <rPh sb="0" eb="3">
      <t>ビジュツカン</t>
    </rPh>
    <rPh sb="4" eb="5">
      <t>イ</t>
    </rPh>
    <rPh sb="6" eb="7">
      <t>マエ</t>
    </rPh>
    <rPh sb="8" eb="9">
      <t>イエ</t>
    </rPh>
    <rPh sb="22" eb="24">
      <t>ドウチュウ</t>
    </rPh>
    <rPh sb="26" eb="28">
      <t>カイサツ</t>
    </rPh>
    <rPh sb="29" eb="30">
      <t>ダ</t>
    </rPh>
    <rPh sb="32" eb="33">
      <t>チュウ</t>
    </rPh>
    <rPh sb="38" eb="39">
      <t>オ</t>
    </rPh>
    <rPh sb="50" eb="51">
      <t>ツカ</t>
    </rPh>
    <rPh sb="54" eb="56">
      <t>ジョウタイ</t>
    </rPh>
    <phoneticPr fontId="1"/>
  </si>
  <si>
    <t>褒めるところを探す。風呂で顔をつける練習した？とか</t>
    <rPh sb="0" eb="1">
      <t>ホ</t>
    </rPh>
    <rPh sb="7" eb="8">
      <t>サガ</t>
    </rPh>
    <rPh sb="10" eb="12">
      <t>フロ</t>
    </rPh>
    <rPh sb="13" eb="14">
      <t>カオ</t>
    </rPh>
    <rPh sb="18" eb="20">
      <t>レンシュウ</t>
    </rPh>
    <phoneticPr fontId="1"/>
  </si>
  <si>
    <t>上手に片付けができずに不安定に。さらにご飯ができるまでのテレビを下の子が見たい番組にするように伝えると大泣き</t>
    <rPh sb="0" eb="2">
      <t>ジョウズ</t>
    </rPh>
    <rPh sb="3" eb="5">
      <t>カタヅ</t>
    </rPh>
    <rPh sb="11" eb="14">
      <t>フアンテイ</t>
    </rPh>
    <rPh sb="20" eb="21">
      <t>ハン</t>
    </rPh>
    <rPh sb="32" eb="33">
      <t>シタ</t>
    </rPh>
    <rPh sb="34" eb="35">
      <t>コ</t>
    </rPh>
    <rPh sb="36" eb="37">
      <t>ミ</t>
    </rPh>
    <rPh sb="39" eb="41">
      <t>バングミ</t>
    </rPh>
    <rPh sb="47" eb="48">
      <t>ツタ</t>
    </rPh>
    <rPh sb="51" eb="53">
      <t>オオナ</t>
    </rPh>
    <phoneticPr fontId="1"/>
  </si>
  <si>
    <t>year</t>
    <phoneticPr fontId="1"/>
  </si>
  <si>
    <t>month</t>
    <phoneticPr fontId="1"/>
  </si>
  <si>
    <t>英語2(復習</t>
    <rPh sb="0" eb="2">
      <t>エイゴ</t>
    </rPh>
    <rPh sb="4" eb="6">
      <t>フクシュウ</t>
    </rPh>
    <phoneticPr fontId="1"/>
  </si>
  <si>
    <t>枚数</t>
    <rPh sb="0" eb="2">
      <t>マイスウ</t>
    </rPh>
    <phoneticPr fontId="1"/>
  </si>
  <si>
    <t>p15</t>
    <phoneticPr fontId="1"/>
  </si>
  <si>
    <t>daily</t>
    <phoneticPr fontId="1"/>
  </si>
  <si>
    <t>二人とも愛情が足りていない</t>
    <rPh sb="0" eb="2">
      <t>フタリ</t>
    </rPh>
    <rPh sb="4" eb="6">
      <t>アイジョウ</t>
    </rPh>
    <rPh sb="7" eb="8">
      <t>タ</t>
    </rPh>
    <phoneticPr fontId="1"/>
  </si>
  <si>
    <t>わぁわぁ泣かれても笑顔で対処できた</t>
    <rPh sb="4" eb="5">
      <t>ナ</t>
    </rPh>
    <rPh sb="9" eb="11">
      <t>エガオ</t>
    </rPh>
    <rPh sb="12" eb="14">
      <t>タイショ</t>
    </rPh>
    <phoneticPr fontId="1"/>
  </si>
  <si>
    <t>残業などで疲れた後にどうするか。お笑いを見るか</t>
    <rPh sb="0" eb="2">
      <t>ザンギョウ</t>
    </rPh>
    <rPh sb="5" eb="6">
      <t>ツカ</t>
    </rPh>
    <rPh sb="8" eb="9">
      <t>アト</t>
    </rPh>
    <rPh sb="17" eb="18">
      <t>ワラ</t>
    </rPh>
    <rPh sb="20" eb="21">
      <t>ミ</t>
    </rPh>
    <phoneticPr fontId="1"/>
  </si>
  <si>
    <t>11時に寝る</t>
    <rPh sb="2" eb="3">
      <t>ジ</t>
    </rPh>
    <rPh sb="4" eb="5">
      <t>ネ</t>
    </rPh>
    <phoneticPr fontId="1"/>
  </si>
  <si>
    <t>疲れた後はすぐ寝れなければテレビ、お笑いを見る</t>
    <rPh sb="0" eb="1">
      <t>ツカ</t>
    </rPh>
    <rPh sb="3" eb="4">
      <t>アト</t>
    </rPh>
    <rPh sb="7" eb="8">
      <t>ネ</t>
    </rPh>
    <rPh sb="18" eb="19">
      <t>ワラ</t>
    </rPh>
    <rPh sb="21" eb="22">
      <t>ミ</t>
    </rPh>
    <phoneticPr fontId="1"/>
  </si>
  <si>
    <t>5時に起きる！</t>
    <rPh sb="1" eb="2">
      <t>ジ</t>
    </rPh>
    <rPh sb="3" eb="4">
      <t>オ</t>
    </rPh>
    <phoneticPr fontId="1"/>
  </si>
  <si>
    <t>寝るのが11時を過ぎた。止めなければという意識をシャットアウトした。</t>
    <rPh sb="0" eb="1">
      <t>ネ</t>
    </rPh>
    <rPh sb="6" eb="7">
      <t>ジ</t>
    </rPh>
    <rPh sb="8" eb="9">
      <t>ス</t>
    </rPh>
    <rPh sb="12" eb="13">
      <t>ト</t>
    </rPh>
    <rPh sb="21" eb="23">
      <t>イシキ</t>
    </rPh>
    <phoneticPr fontId="1"/>
  </si>
  <si>
    <t>集中力に欠けた</t>
    <rPh sb="0" eb="3">
      <t>シュウチュウリョク</t>
    </rPh>
    <rPh sb="4" eb="5">
      <t>カ</t>
    </rPh>
    <phoneticPr fontId="1"/>
  </si>
  <si>
    <t>ネットを開かない</t>
    <rPh sb="4" eb="5">
      <t>ヒラ</t>
    </rPh>
    <phoneticPr fontId="1"/>
  </si>
  <si>
    <t>親子が遊んでいて一向に歯磨きなど寝る準備に進まないとイライラする</t>
    <rPh sb="0" eb="2">
      <t>オヤコ</t>
    </rPh>
    <rPh sb="3" eb="4">
      <t>アソ</t>
    </rPh>
    <rPh sb="8" eb="10">
      <t>イッコウ</t>
    </rPh>
    <rPh sb="11" eb="13">
      <t>ハミガ</t>
    </rPh>
    <rPh sb="16" eb="17">
      <t>ネ</t>
    </rPh>
    <rPh sb="18" eb="20">
      <t>ジュンビ</t>
    </rPh>
    <rPh sb="21" eb="22">
      <t>スス</t>
    </rPh>
    <phoneticPr fontId="1"/>
  </si>
  <si>
    <t>まだまだ難しいがリモコンを自分で操作できるように教ええた</t>
    <rPh sb="4" eb="5">
      <t>ムズカ</t>
    </rPh>
    <phoneticPr fontId="1"/>
  </si>
  <si>
    <t>今日から早く保湿クリームを塗ろうと決めていたのに、見る動画がなかなか決まらずにクリームが塗れずにイラつく。予定が狂ったことによるイラつき。</t>
    <rPh sb="0" eb="2">
      <t>キョウ</t>
    </rPh>
    <rPh sb="4" eb="5">
      <t>ハヤ</t>
    </rPh>
    <rPh sb="6" eb="8">
      <t>ホシツ</t>
    </rPh>
    <rPh sb="13" eb="14">
      <t>ヌ</t>
    </rPh>
    <rPh sb="17" eb="18">
      <t>キ</t>
    </rPh>
    <rPh sb="25" eb="26">
      <t>ミ</t>
    </rPh>
    <rPh sb="44" eb="45">
      <t>ヌ</t>
    </rPh>
    <rPh sb="53" eb="55">
      <t>ヨテイ</t>
    </rPh>
    <rPh sb="56" eb="57">
      <t>クル</t>
    </rPh>
    <phoneticPr fontId="1"/>
  </si>
  <si>
    <t>taskのため23時に寝れず</t>
    <rPh sb="9" eb="10">
      <t>ジ</t>
    </rPh>
    <rPh sb="11" eb="12">
      <t>ネ</t>
    </rPh>
    <phoneticPr fontId="1"/>
  </si>
  <si>
    <t>20までよくやった。まだ目が覚めてすぐ起きていない。妥協がある。仕事中の集中力に難あり。食事等に気をつける。余命短し</t>
    <rPh sb="12" eb="13">
      <t>メ</t>
    </rPh>
    <rPh sb="14" eb="15">
      <t>サ</t>
    </rPh>
    <rPh sb="19" eb="20">
      <t>オ</t>
    </rPh>
    <rPh sb="26" eb="28">
      <t>ダキョウ</t>
    </rPh>
    <rPh sb="32" eb="35">
      <t>シゴトチュウ</t>
    </rPh>
    <rPh sb="36" eb="39">
      <t>シュウチュウリョク</t>
    </rPh>
    <rPh sb="40" eb="41">
      <t>ナン</t>
    </rPh>
    <rPh sb="44" eb="47">
      <t>ショクジトウ</t>
    </rPh>
    <rPh sb="48" eb="49">
      <t>キ</t>
    </rPh>
    <rPh sb="54" eb="56">
      <t>ヨメイ</t>
    </rPh>
    <rPh sb="56" eb="57">
      <t>ミジカ</t>
    </rPh>
    <phoneticPr fontId="1"/>
  </si>
  <si>
    <t>下の子がトイレを待っているのに、上の子がトイレが終わった後も伸びをしていることに腹を立てる。保育園の迎えで下の子が「ママがいい」と泣く</t>
    <rPh sb="0" eb="1">
      <t>シタ</t>
    </rPh>
    <rPh sb="2" eb="3">
      <t>コ</t>
    </rPh>
    <rPh sb="8" eb="9">
      <t>マ</t>
    </rPh>
    <rPh sb="16" eb="17">
      <t>ウエ</t>
    </rPh>
    <rPh sb="18" eb="19">
      <t>コ</t>
    </rPh>
    <rPh sb="24" eb="25">
      <t>オ</t>
    </rPh>
    <rPh sb="28" eb="29">
      <t>アト</t>
    </rPh>
    <rPh sb="30" eb="31">
      <t>ノ</t>
    </rPh>
    <rPh sb="40" eb="41">
      <t>ハラ</t>
    </rPh>
    <rPh sb="42" eb="43">
      <t>タ</t>
    </rPh>
    <rPh sb="46" eb="49">
      <t>ホイクエン</t>
    </rPh>
    <rPh sb="50" eb="51">
      <t>ムカ</t>
    </rPh>
    <rPh sb="53" eb="54">
      <t>シタ</t>
    </rPh>
    <rPh sb="55" eb="56">
      <t>コ</t>
    </rPh>
    <rPh sb="65" eb="66">
      <t>ナ</t>
    </rPh>
    <phoneticPr fontId="1"/>
  </si>
  <si>
    <t>執筆中に、眠れないと子供に呼ばれて寝室に。さらに横になっているときに水を飲みたいからついてきて、と。イラついてしまう</t>
    <rPh sb="0" eb="3">
      <t>シッピツチュウ</t>
    </rPh>
    <rPh sb="5" eb="6">
      <t>ネム</t>
    </rPh>
    <rPh sb="10" eb="12">
      <t>コドモ</t>
    </rPh>
    <rPh sb="13" eb="14">
      <t>ヨ</t>
    </rPh>
    <rPh sb="17" eb="19">
      <t>シンシツ</t>
    </rPh>
    <rPh sb="24" eb="25">
      <t>ヨコ</t>
    </rPh>
    <rPh sb="34" eb="35">
      <t>ミズ</t>
    </rPh>
    <rPh sb="36" eb="37">
      <t>ノ</t>
    </rPh>
    <phoneticPr fontId="1"/>
  </si>
  <si>
    <t>スケーターを家の前の道路の真ん中で放置したため怒る。やり取りが続いたため翌日まで引きずる。</t>
    <rPh sb="6" eb="7">
      <t>イエ</t>
    </rPh>
    <rPh sb="8" eb="9">
      <t>マエ</t>
    </rPh>
    <rPh sb="10" eb="12">
      <t>ドウロ</t>
    </rPh>
    <rPh sb="13" eb="14">
      <t>マ</t>
    </rPh>
    <rPh sb="15" eb="16">
      <t>ナカ</t>
    </rPh>
    <rPh sb="17" eb="19">
      <t>ホウチ</t>
    </rPh>
    <rPh sb="23" eb="24">
      <t>オコ</t>
    </rPh>
    <rPh sb="28" eb="29">
      <t>ト</t>
    </rPh>
    <rPh sb="31" eb="32">
      <t>ツヅ</t>
    </rPh>
    <rPh sb="36" eb="38">
      <t>ヨクジツ</t>
    </rPh>
    <rPh sb="40" eb="41">
      <t>ヒ</t>
    </rPh>
    <phoneticPr fontId="1"/>
  </si>
  <si>
    <t>一人の時間をもらって夕方まで長く寝ることで回復する</t>
    <rPh sb="0" eb="2">
      <t>ヒトリ</t>
    </rPh>
    <rPh sb="3" eb="5">
      <t>ジカン</t>
    </rPh>
    <rPh sb="10" eb="12">
      <t>ユウガタ</t>
    </rPh>
    <rPh sb="14" eb="15">
      <t>ナガ</t>
    </rPh>
    <rPh sb="16" eb="17">
      <t>ネ</t>
    </rPh>
    <rPh sb="21" eb="23">
      <t>カイフク</t>
    </rPh>
    <phoneticPr fontId="1"/>
  </si>
  <si>
    <t>風呂の途中で下の子がウンチのため、おむつに。そろそろトイレでしてほしいのに、「時間を取られること」に苛々した</t>
    <rPh sb="0" eb="2">
      <t>フロ</t>
    </rPh>
    <rPh sb="3" eb="5">
      <t>トチュウ</t>
    </rPh>
    <rPh sb="6" eb="7">
      <t>シタ</t>
    </rPh>
    <rPh sb="8" eb="9">
      <t>コ</t>
    </rPh>
    <rPh sb="39" eb="41">
      <t>ジカン</t>
    </rPh>
    <rPh sb="42" eb="43">
      <t>ト</t>
    </rPh>
    <rPh sb="50" eb="52">
      <t>イライラ</t>
    </rPh>
    <phoneticPr fontId="1"/>
  </si>
  <si>
    <t>登園時にマグを忘れて泣かれて苛々</t>
    <rPh sb="0" eb="2">
      <t>トウエン</t>
    </rPh>
    <rPh sb="2" eb="3">
      <t>ジ</t>
    </rPh>
    <rPh sb="7" eb="8">
      <t>ワス</t>
    </rPh>
    <rPh sb="10" eb="11">
      <t>ナ</t>
    </rPh>
    <rPh sb="14" eb="16">
      <t>イライラ</t>
    </rPh>
    <phoneticPr fontId="1"/>
  </si>
  <si>
    <t>昼に残しておいた朝食をまたあまり食べなかったり、上の子が公文をしなかったり、下の子が30分で昼寝から起きて仕事が大変だったり、ウンチしたり床が汚かったり</t>
    <rPh sb="0" eb="1">
      <t>ヒル</t>
    </rPh>
    <rPh sb="2" eb="3">
      <t>ノコ</t>
    </rPh>
    <rPh sb="8" eb="10">
      <t>チョウショク</t>
    </rPh>
    <rPh sb="16" eb="17">
      <t>タ</t>
    </rPh>
    <rPh sb="24" eb="25">
      <t>ウエ</t>
    </rPh>
    <rPh sb="26" eb="27">
      <t>コ</t>
    </rPh>
    <rPh sb="28" eb="30">
      <t>クモン</t>
    </rPh>
    <rPh sb="38" eb="39">
      <t>シタ</t>
    </rPh>
    <rPh sb="40" eb="41">
      <t>コ</t>
    </rPh>
    <rPh sb="44" eb="45">
      <t>プン</t>
    </rPh>
    <rPh sb="46" eb="48">
      <t>ヒルネ</t>
    </rPh>
    <rPh sb="50" eb="51">
      <t>オ</t>
    </rPh>
    <rPh sb="53" eb="55">
      <t>シゴト</t>
    </rPh>
    <rPh sb="56" eb="58">
      <t>タイヘン</t>
    </rPh>
    <rPh sb="69" eb="70">
      <t>ユカ</t>
    </rPh>
    <rPh sb="71" eb="72">
      <t>キタナ</t>
    </rPh>
    <phoneticPr fontId="1"/>
  </si>
  <si>
    <t>身体の洗い方のルールを知らずに上の子に怒られたのでイラつく。ちょっと仕事で疲れていたか</t>
    <rPh sb="0" eb="2">
      <t>カラダ</t>
    </rPh>
    <rPh sb="3" eb="4">
      <t>アラ</t>
    </rPh>
    <rPh sb="5" eb="6">
      <t>カタ</t>
    </rPh>
    <rPh sb="11" eb="12">
      <t>シ</t>
    </rPh>
    <rPh sb="15" eb="16">
      <t>ウエ</t>
    </rPh>
    <rPh sb="17" eb="18">
      <t>コ</t>
    </rPh>
    <rPh sb="19" eb="20">
      <t>オコ</t>
    </rPh>
    <rPh sb="34" eb="36">
      <t>シゴト</t>
    </rPh>
    <rPh sb="37" eb="38">
      <t>ツカ</t>
    </rPh>
    <phoneticPr fontId="1"/>
  </si>
  <si>
    <t>危なかった。疲れのせいか</t>
    <rPh sb="0" eb="1">
      <t>アブ</t>
    </rPh>
    <rPh sb="6" eb="7">
      <t>ツカ</t>
    </rPh>
    <phoneticPr fontId="1"/>
  </si>
  <si>
    <t>危なかった。ワンオペは危険</t>
    <rPh sb="0" eb="1">
      <t>アブ</t>
    </rPh>
    <rPh sb="11" eb="13">
      <t>キケン</t>
    </rPh>
    <phoneticPr fontId="1"/>
  </si>
  <si>
    <t>叩いてくる下の子の手を握って動けなくした</t>
    <rPh sb="0" eb="1">
      <t>タタ</t>
    </rPh>
    <rPh sb="5" eb="6">
      <t>シタ</t>
    </rPh>
    <rPh sb="7" eb="8">
      <t>コ</t>
    </rPh>
    <rPh sb="9" eb="10">
      <t>テ</t>
    </rPh>
    <rPh sb="11" eb="12">
      <t>ニギ</t>
    </rPh>
    <rPh sb="14" eb="15">
      <t>ウゴ</t>
    </rPh>
    <phoneticPr fontId="1"/>
  </si>
  <si>
    <t>よく持ち直した</t>
    <rPh sb="2" eb="3">
      <t>モ</t>
    </rPh>
    <rPh sb="4" eb="5">
      <t>ナオ</t>
    </rPh>
    <phoneticPr fontId="1"/>
  </si>
  <si>
    <t>トイレが長すぎる件で注意すると</t>
    <rPh sb="4" eb="5">
      <t>ナガ</t>
    </rPh>
    <rPh sb="8" eb="9">
      <t>ケン</t>
    </rPh>
    <rPh sb="10" eb="12">
      <t>チュウイ</t>
    </rPh>
    <phoneticPr fontId="1"/>
  </si>
  <si>
    <t>前日の中途半端な残りの公文をするかしないかで喧嘩</t>
    <rPh sb="0" eb="2">
      <t>ゼンジツ</t>
    </rPh>
    <rPh sb="3" eb="7">
      <t>チュウトハンパ</t>
    </rPh>
    <rPh sb="8" eb="9">
      <t>ノコ</t>
    </rPh>
    <rPh sb="11" eb="13">
      <t>クモン</t>
    </rPh>
    <rPh sb="22" eb="24">
      <t>ケンカ</t>
    </rPh>
    <phoneticPr fontId="1"/>
  </si>
  <si>
    <t>歯磨きに行くのに動画を隙間から見ようとして。そこから自分の歯磨きの時間が短すぎることを指摘すると、歯磨きをママにしてもらうとか揉めて。何かの拍子に腕を強く掴んでしまったのが良くなかった。</t>
    <rPh sb="0" eb="2">
      <t>ハミガ</t>
    </rPh>
    <rPh sb="4" eb="5">
      <t>イ</t>
    </rPh>
    <rPh sb="8" eb="10">
      <t>ドウガ</t>
    </rPh>
    <rPh sb="11" eb="13">
      <t>スキマ</t>
    </rPh>
    <rPh sb="15" eb="16">
      <t>ミ</t>
    </rPh>
    <rPh sb="26" eb="28">
      <t>ジブン</t>
    </rPh>
    <rPh sb="29" eb="31">
      <t>ハミガ</t>
    </rPh>
    <rPh sb="33" eb="35">
      <t>ジカン</t>
    </rPh>
    <rPh sb="36" eb="37">
      <t>ミジカ</t>
    </rPh>
    <rPh sb="43" eb="45">
      <t>シテキ</t>
    </rPh>
    <rPh sb="49" eb="51">
      <t>ハミガ</t>
    </rPh>
    <rPh sb="63" eb="64">
      <t>モ</t>
    </rPh>
    <rPh sb="67" eb="68">
      <t>ナニ</t>
    </rPh>
    <rPh sb="70" eb="72">
      <t>ヒョウシ</t>
    </rPh>
    <rPh sb="73" eb="74">
      <t>ウデ</t>
    </rPh>
    <rPh sb="75" eb="76">
      <t>ツヨ</t>
    </rPh>
    <rPh sb="77" eb="78">
      <t>ツカ</t>
    </rPh>
    <rPh sb="86" eb="87">
      <t>ヨ</t>
    </rPh>
    <phoneticPr fontId="1"/>
  </si>
  <si>
    <t>早く寝かせたいのに、みんな動かず、自分でする歯磨きも10秒くらいのため。</t>
    <rPh sb="0" eb="1">
      <t>ハヤ</t>
    </rPh>
    <rPh sb="2" eb="3">
      <t>ネ</t>
    </rPh>
    <rPh sb="13" eb="14">
      <t>ウゴ</t>
    </rPh>
    <rPh sb="17" eb="19">
      <t>ジブン</t>
    </rPh>
    <rPh sb="22" eb="24">
      <t>ハミガ</t>
    </rPh>
    <rPh sb="28" eb="29">
      <t>ビョウ</t>
    </rPh>
    <phoneticPr fontId="1"/>
  </si>
  <si>
    <t>文学</t>
    <rPh sb="0" eb="2">
      <t>ブンガク</t>
    </rPh>
    <phoneticPr fontId="1"/>
  </si>
  <si>
    <t>英語復習</t>
    <rPh sb="0" eb="4">
      <t>エイゴフクシュウ</t>
    </rPh>
    <phoneticPr fontId="1"/>
  </si>
  <si>
    <t>日々の用事</t>
    <rPh sb="0" eb="2">
      <t>ヒビ</t>
    </rPh>
    <rPh sb="3" eb="5">
      <t>ヨウジ</t>
    </rPh>
    <phoneticPr fontId="1"/>
  </si>
  <si>
    <t>日記などの整理</t>
    <rPh sb="0" eb="2">
      <t>ニッキ</t>
    </rPh>
    <rPh sb="5" eb="7">
      <t>セイリ</t>
    </rPh>
    <phoneticPr fontId="1"/>
  </si>
  <si>
    <t>筋トレ</t>
    <rPh sb="0" eb="1">
      <t>キン</t>
    </rPh>
    <phoneticPr fontId="1"/>
  </si>
  <si>
    <t>thought</t>
    <phoneticPr fontId="1"/>
  </si>
  <si>
    <t>繰り返されるもう一回、にうまく対処できずに（何時まで、という条件が折り合わずに）物別れ。親のKPが度重なる譲歩で削られてしまった</t>
    <rPh sb="0" eb="1">
      <t>ク</t>
    </rPh>
    <rPh sb="2" eb="3">
      <t>カエ</t>
    </rPh>
    <rPh sb="8" eb="10">
      <t>イッカイ</t>
    </rPh>
    <rPh sb="15" eb="17">
      <t>タイショ</t>
    </rPh>
    <rPh sb="22" eb="24">
      <t>ナンジ</t>
    </rPh>
    <rPh sb="30" eb="32">
      <t>ジョウケン</t>
    </rPh>
    <rPh sb="33" eb="34">
      <t>オ</t>
    </rPh>
    <rPh sb="35" eb="36">
      <t>ア</t>
    </rPh>
    <rPh sb="40" eb="42">
      <t>モノワカ</t>
    </rPh>
    <rPh sb="44" eb="45">
      <t>オヤ</t>
    </rPh>
    <rPh sb="49" eb="51">
      <t>タビカサ</t>
    </rPh>
    <rPh sb="53" eb="55">
      <t>ジョウホ</t>
    </rPh>
    <rPh sb="56" eb="57">
      <t>ケズ</t>
    </rPh>
    <phoneticPr fontId="1"/>
  </si>
  <si>
    <t>寝ているところを何度も起こされ、踏まれてキレる</t>
    <rPh sb="0" eb="1">
      <t>ネ</t>
    </rPh>
    <rPh sb="8" eb="10">
      <t>ナンド</t>
    </rPh>
    <rPh sb="11" eb="12">
      <t>オ</t>
    </rPh>
    <rPh sb="16" eb="17">
      <t>フ</t>
    </rPh>
    <phoneticPr fontId="1"/>
  </si>
  <si>
    <t>学校の準備中テレビを見れないと泣くので「泣くな！」と</t>
    <rPh sb="0" eb="2">
      <t>ガッコウ</t>
    </rPh>
    <rPh sb="3" eb="6">
      <t>ジュンビチュウ</t>
    </rPh>
    <rPh sb="10" eb="11">
      <t>ミ</t>
    </rPh>
    <rPh sb="15" eb="16">
      <t>ナ</t>
    </rPh>
    <rPh sb="20" eb="21">
      <t>ナ</t>
    </rPh>
    <phoneticPr fontId="1"/>
  </si>
  <si>
    <t>何回か「あーん」と言われたため苛立って「なんでできないって言ったっけ？」と</t>
    <rPh sb="0" eb="2">
      <t>ナンカイ</t>
    </rPh>
    <rPh sb="9" eb="10">
      <t>イ</t>
    </rPh>
    <rPh sb="15" eb="17">
      <t>イラダ</t>
    </rPh>
    <rPh sb="29" eb="30">
      <t>イ</t>
    </rPh>
    <phoneticPr fontId="1"/>
  </si>
  <si>
    <t>妻への苛立ちから子供の相手をできず</t>
    <rPh sb="0" eb="1">
      <t>ツマ</t>
    </rPh>
    <rPh sb="3" eb="5">
      <t>イラダ</t>
    </rPh>
    <rPh sb="8" eb="10">
      <t>コドモ</t>
    </rPh>
    <rPh sb="11" eb="13">
      <t>アイテ</t>
    </rPh>
    <phoneticPr fontId="1"/>
  </si>
  <si>
    <t>1 こちらの意向に反する、無視する</t>
  </si>
  <si>
    <t>2 攻撃してくる</t>
  </si>
  <si>
    <t>3 過剰な要求</t>
  </si>
  <si>
    <t>4 こちらの機嫌が悪い</t>
  </si>
  <si>
    <t>泣きながらできないことを言われる。それが怒っているように聞こえる。</t>
    <rPh sb="0" eb="1">
      <t>ナ</t>
    </rPh>
    <rPh sb="12" eb="13">
      <t>イ</t>
    </rPh>
    <rPh sb="20" eb="21">
      <t>オコ</t>
    </rPh>
    <rPh sb="28" eb="29">
      <t>キ</t>
    </rPh>
    <phoneticPr fontId="1"/>
  </si>
  <si>
    <t>シャワーで髪を流すのに泣きながら抗議</t>
    <rPh sb="5" eb="6">
      <t>カミ</t>
    </rPh>
    <rPh sb="7" eb="8">
      <t>ナガ</t>
    </rPh>
    <rPh sb="11" eb="12">
      <t>ナ</t>
    </rPh>
    <rPh sb="16" eb="18">
      <t>コウギ</t>
    </rPh>
    <phoneticPr fontId="1"/>
  </si>
  <si>
    <t>他が帰ってくるまで公文をしない。集中していない。泣き言をいう</t>
    <rPh sb="0" eb="1">
      <t>ホカ</t>
    </rPh>
    <rPh sb="2" eb="3">
      <t>カエ</t>
    </rPh>
    <rPh sb="9" eb="11">
      <t>クモン</t>
    </rPh>
    <rPh sb="16" eb="18">
      <t>シュウチュウ</t>
    </rPh>
    <rPh sb="24" eb="25">
      <t>ナ</t>
    </rPh>
    <rPh sb="26" eb="27">
      <t>ゴト</t>
    </rPh>
    <phoneticPr fontId="1"/>
  </si>
  <si>
    <t>5 discommunication</t>
    <phoneticPr fontId="1"/>
  </si>
  <si>
    <t>九九の記録カードをどのように使うかで揉める</t>
    <rPh sb="0" eb="2">
      <t>クク</t>
    </rPh>
    <rPh sb="3" eb="5">
      <t>キロク</t>
    </rPh>
    <rPh sb="14" eb="15">
      <t>ツカ</t>
    </rPh>
    <rPh sb="18" eb="19">
      <t>モ</t>
    </rPh>
    <phoneticPr fontId="1"/>
  </si>
  <si>
    <t>カルタをしたあたりで機嫌がすっと直る</t>
    <rPh sb="10" eb="12">
      <t>キゲン</t>
    </rPh>
    <rPh sb="16" eb="17">
      <t>ナオ</t>
    </rPh>
    <phoneticPr fontId="1"/>
  </si>
  <si>
    <t>妹が一緒にやりたがっていることを「うまく教えれない」と断ることに軽く苛々</t>
    <rPh sb="0" eb="1">
      <t>イモウト</t>
    </rPh>
    <rPh sb="2" eb="4">
      <t>イッショ</t>
    </rPh>
    <rPh sb="20" eb="21">
      <t>オシ</t>
    </rPh>
    <rPh sb="27" eb="28">
      <t>コトワ</t>
    </rPh>
    <rPh sb="32" eb="33">
      <t>カル</t>
    </rPh>
    <rPh sb="34" eb="36">
      <t>イライラ</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</si>
</sst>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yyyy&quot;年&quot;m&quot;月&quot;;@"/>
    <numFmt numFmtId="177" formatCode="h:mm;@"/>
  </numFmts>
  <fonts count="4">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rgb="FF000000"/>
      <name val="Google Sans Text"/>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9" fontId="2" fillId="0" borderId="0" applyFont="0" applyFill="0" applyBorder="0" applyAlignment="0" applyProtection="0">
      <alignment vertical="center"/>
    </xf>
  </cellStyleXfs>
  <cellXfs count="13">
    <xf numFmtId="0" fontId="0" fillId="0" borderId="0" xfId="0">
      <alignment vertical="center"/>
    </xf>
    <xf numFmtId="14" fontId="0" fillId="0" borderId="0" xfId="0" applyNumberFormat="1">
      <alignment vertical="center"/>
    </xf>
    <xf numFmtId="0" fontId="0" fillId="0" borderId="0" xfId="0" applyAlignment="1">
      <alignment vertical="center"/>
    </xf>
    <xf numFmtId="176" fontId="0" fillId="0" borderId="0" xfId="0" applyNumberFormat="1">
      <alignment vertical="center"/>
    </xf>
    <xf numFmtId="0" fontId="0" fillId="0" borderId="0" xfId="0" applyNumberFormat="1">
      <alignment vertical="center"/>
    </xf>
    <xf numFmtId="9" fontId="0" fillId="0" borderId="0" xfId="1" applyFont="1">
      <alignment vertical="center"/>
    </xf>
    <xf numFmtId="1" fontId="0" fillId="0" borderId="0" xfId="0" applyNumberFormat="1">
      <alignment vertical="center"/>
    </xf>
    <xf numFmtId="0" fontId="0" fillId="0" borderId="0" xfId="0">
      <alignment vertical="center"/>
    </xf>
    <xf numFmtId="0" fontId="0" fillId="0" borderId="0" xfId="0">
      <alignment vertical="center"/>
    </xf>
    <xf numFmtId="20" fontId="0" fillId="0" borderId="0" xfId="0" applyNumberFormat="1">
      <alignment vertical="center"/>
    </xf>
    <xf numFmtId="177" fontId="0" fillId="0" borderId="0" xfId="1" applyNumberFormat="1" applyFont="1">
      <alignment vertical="center"/>
    </xf>
    <xf numFmtId="9" fontId="0" fillId="0" borderId="0" xfId="0" applyNumberFormat="1">
      <alignment vertical="center"/>
    </xf>
    <xf numFmtId="0" fontId="3" fillId="0" borderId="0" xfId="0" applyFont="1">
      <alignment vertical="center"/>
    </xf>
  </cellXfs>
  <cellStyles count="2">
    <cellStyle name="パーセント" xfId="1"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tx>
            <c:strRef>
              <c:f>Sheet2!$D$1</c:f>
              <c:strCache>
                <c:ptCount val="1"/>
                <c:pt idx="0">
                  <c:v>鷹揚</c:v>
                </c:pt>
              </c:strCache>
            </c:strRef>
          </c:tx>
          <c:spPr>
            <a:solidFill>
              <a:schemeClr val="accent1"/>
            </a:solidFill>
            <a:ln>
              <a:noFill/>
            </a:ln>
            <a:effectLst/>
          </c:spPr>
          <c:invertIfNegative val="0"/>
          <c:cat>
            <c:strRef>
              <c:f>Sheet2!$C$2:$C$20</c:f>
              <c:strCache>
                <c:ptCount val="19"/>
                <c:pt idx="0">
                  <c:v>2024_11</c:v>
                </c:pt>
                <c:pt idx="1">
                  <c:v>2024_12</c:v>
                </c:pt>
                <c:pt idx="2">
                  <c:v>2025_1</c:v>
                </c:pt>
                <c:pt idx="3">
                  <c:v>2025_2</c:v>
                </c:pt>
                <c:pt idx="4">
                  <c:v>2025_3</c:v>
                </c:pt>
                <c:pt idx="5">
                  <c:v>2025_4</c:v>
                </c:pt>
                <c:pt idx="6">
                  <c:v>2025_5</c:v>
                </c:pt>
                <c:pt idx="7">
                  <c:v>2025_6</c:v>
                </c:pt>
                <c:pt idx="8">
                  <c:v>2025_7</c:v>
                </c:pt>
                <c:pt idx="9">
                  <c:v>2025_8</c:v>
                </c:pt>
                <c:pt idx="10">
                  <c:v>2025_9</c:v>
                </c:pt>
                <c:pt idx="11">
                  <c:v>2025_10</c:v>
                </c:pt>
                <c:pt idx="12">
                  <c:v>2025_11</c:v>
                </c:pt>
                <c:pt idx="13">
                  <c:v>2025_12</c:v>
                </c:pt>
                <c:pt idx="14">
                  <c:v>2026_1</c:v>
                </c:pt>
                <c:pt idx="15">
                  <c:v>2026_2</c:v>
                </c:pt>
                <c:pt idx="16">
                  <c:v>2026_3</c:v>
                </c:pt>
                <c:pt idx="17">
                  <c:v>2026_4</c:v>
                </c:pt>
                <c:pt idx="18">
                  <c:v>2026_5</c:v>
                </c:pt>
              </c:strCache>
            </c:strRef>
          </c:cat>
          <c:val>
            <c:numRef>
              <c:f>Sheet2!$D$2:$D$20</c:f>
              <c:numCache>
                <c:formatCode>0%</c:formatCode>
                <c:ptCount val="19"/>
                <c:pt idx="0">
                  <c:v>0.56666666666666665</c:v>
                </c:pt>
                <c:pt idx="1">
                  <c:v>0.64516129032258063</c:v>
                </c:pt>
                <c:pt idx="2">
                  <c:v>0.70967741935483875</c:v>
                </c:pt>
                <c:pt idx="3">
                  <c:v>0.7142857142857143</c:v>
                </c:pt>
                <c:pt idx="4">
                  <c:v>0.74193548387096775</c:v>
                </c:pt>
                <c:pt idx="5">
                  <c:v>0.62068965517241381</c:v>
                </c:pt>
                <c:pt idx="6">
                  <c:v>0.6428571428571429</c:v>
                </c:pt>
                <c:pt idx="7">
                  <c:v>0.9</c:v>
                </c:pt>
                <c:pt idx="8">
                  <c:v>0.77419354838709675</c:v>
                </c:pt>
                <c:pt idx="9">
                  <c:v>0.77272727272727271</c:v>
                </c:pt>
                <c:pt idx="10">
                  <c:v>0.83333333333333337</c:v>
                </c:pt>
                <c:pt idx="11">
                  <c:v>0.77419354838709675</c:v>
                </c:pt>
                <c:pt idx="12">
                  <c:v>0.8666666666666667</c:v>
                </c:pt>
                <c:pt idx="13">
                  <c:v>0.83870967741935487</c:v>
                </c:pt>
                <c:pt idx="14">
                  <c:v>0.90322580645161288</c:v>
                </c:pt>
                <c:pt idx="15">
                  <c:v>0.625</c:v>
                </c:pt>
                <c:pt idx="16">
                  <c:v>0.7407407407407407</c:v>
                </c:pt>
                <c:pt idx="17">
                  <c:v>0.76666666666666672</c:v>
                </c:pt>
                <c:pt idx="18">
                  <c:v>0.82758620689655171</c:v>
                </c:pt>
              </c:numCache>
            </c:numRef>
          </c:val>
        </c:ser>
        <c:ser>
          <c:idx val="1"/>
          <c:order val="1"/>
          <c:tx>
            <c:strRef>
              <c:f>Sheet2!$E$1</c:f>
              <c:strCache>
                <c:ptCount val="1"/>
                <c:pt idx="0">
                  <c:v>月目標(5:00起き)</c:v>
                </c:pt>
              </c:strCache>
            </c:strRef>
          </c:tx>
          <c:spPr>
            <a:solidFill>
              <a:schemeClr val="accent2"/>
            </a:solidFill>
            <a:ln>
              <a:noFill/>
            </a:ln>
            <a:effectLst/>
          </c:spPr>
          <c:invertIfNegative val="0"/>
          <c:cat>
            <c:strRef>
              <c:f>Sheet2!$C$2:$C$20</c:f>
              <c:strCache>
                <c:ptCount val="19"/>
                <c:pt idx="0">
                  <c:v>2024_11</c:v>
                </c:pt>
                <c:pt idx="1">
                  <c:v>2024_12</c:v>
                </c:pt>
                <c:pt idx="2">
                  <c:v>2025_1</c:v>
                </c:pt>
                <c:pt idx="3">
                  <c:v>2025_2</c:v>
                </c:pt>
                <c:pt idx="4">
                  <c:v>2025_3</c:v>
                </c:pt>
                <c:pt idx="5">
                  <c:v>2025_4</c:v>
                </c:pt>
                <c:pt idx="6">
                  <c:v>2025_5</c:v>
                </c:pt>
                <c:pt idx="7">
                  <c:v>2025_6</c:v>
                </c:pt>
                <c:pt idx="8">
                  <c:v>2025_7</c:v>
                </c:pt>
                <c:pt idx="9">
                  <c:v>2025_8</c:v>
                </c:pt>
                <c:pt idx="10">
                  <c:v>2025_9</c:v>
                </c:pt>
                <c:pt idx="11">
                  <c:v>2025_10</c:v>
                </c:pt>
                <c:pt idx="12">
                  <c:v>2025_11</c:v>
                </c:pt>
                <c:pt idx="13">
                  <c:v>2025_12</c:v>
                </c:pt>
                <c:pt idx="14">
                  <c:v>2026_1</c:v>
                </c:pt>
                <c:pt idx="15">
                  <c:v>2026_2</c:v>
                </c:pt>
                <c:pt idx="16">
                  <c:v>2026_3</c:v>
                </c:pt>
                <c:pt idx="17">
                  <c:v>2026_4</c:v>
                </c:pt>
                <c:pt idx="18">
                  <c:v>2026_5</c:v>
                </c:pt>
              </c:strCache>
            </c:strRef>
          </c:cat>
          <c:val>
            <c:numRef>
              <c:f>Sheet2!$E$2:$E$20</c:f>
              <c:numCache>
                <c:formatCode>0%</c:formatCode>
                <c:ptCount val="19"/>
                <c:pt idx="0">
                  <c:v>0.1111111111111111</c:v>
                </c:pt>
                <c:pt idx="1">
                  <c:v>0.27125896057347665</c:v>
                </c:pt>
                <c:pt idx="2" formatCode="h:mm;@">
                  <c:v>0.25004480286738351</c:v>
                </c:pt>
                <c:pt idx="3" formatCode="h:mm;@">
                  <c:v>0.25367063492063496</c:v>
                </c:pt>
                <c:pt idx="4" formatCode="h:mm;@">
                  <c:v>0.26106630824372756</c:v>
                </c:pt>
                <c:pt idx="5" formatCode="h:mm;@">
                  <c:v>0.25301724137931036</c:v>
                </c:pt>
                <c:pt idx="6" formatCode="h:mm;@">
                  <c:v>0.22648809523809524</c:v>
                </c:pt>
                <c:pt idx="7" formatCode="h:mm;@">
                  <c:v>0.23074074074074075</c:v>
                </c:pt>
                <c:pt idx="8" formatCode="h:mm;@">
                  <c:v>0.23931451612903226</c:v>
                </c:pt>
                <c:pt idx="9" formatCode="h:mm;@">
                  <c:v>0.25226608187134508</c:v>
                </c:pt>
                <c:pt idx="10" formatCode="h:mm;@">
                  <c:v>0.24129629629629626</c:v>
                </c:pt>
                <c:pt idx="11" formatCode="h:mm;@">
                  <c:v>0.24690860215053767</c:v>
                </c:pt>
                <c:pt idx="12" formatCode="h:mm;@">
                  <c:v>0.24704218106995882</c:v>
                </c:pt>
                <c:pt idx="13" formatCode="h:mm;@">
                  <c:v>0.24121863799283161</c:v>
                </c:pt>
                <c:pt idx="14" formatCode="h:mm;@">
                  <c:v>0.22390232974910393</c:v>
                </c:pt>
                <c:pt idx="15" formatCode="h:mm;@">
                  <c:v>0.22920524691358024</c:v>
                </c:pt>
                <c:pt idx="16" formatCode="h:mm;@">
                  <c:v>0.24097222222222223</c:v>
                </c:pt>
                <c:pt idx="17" formatCode="h:mm;@">
                  <c:v>0.2130028735632184</c:v>
                </c:pt>
                <c:pt idx="18" formatCode="h:mm;@">
                  <c:v>0.21740591397849465</c:v>
                </c:pt>
              </c:numCache>
            </c:numRef>
          </c:val>
        </c:ser>
        <c:ser>
          <c:idx val="2"/>
          <c:order val="2"/>
          <c:tx>
            <c:strRef>
              <c:f>Sheet2!$F$1</c:f>
              <c:strCache>
                <c:ptCount val="1"/>
                <c:pt idx="0">
                  <c:v>仕事</c:v>
                </c:pt>
              </c:strCache>
            </c:strRef>
          </c:tx>
          <c:spPr>
            <a:solidFill>
              <a:schemeClr val="accent3"/>
            </a:solidFill>
            <a:ln>
              <a:noFill/>
            </a:ln>
            <a:effectLst/>
          </c:spPr>
          <c:invertIfNegative val="0"/>
          <c:cat>
            <c:strRef>
              <c:f>Sheet2!$C$2:$C$20</c:f>
              <c:strCache>
                <c:ptCount val="19"/>
                <c:pt idx="0">
                  <c:v>2024_11</c:v>
                </c:pt>
                <c:pt idx="1">
                  <c:v>2024_12</c:v>
                </c:pt>
                <c:pt idx="2">
                  <c:v>2025_1</c:v>
                </c:pt>
                <c:pt idx="3">
                  <c:v>2025_2</c:v>
                </c:pt>
                <c:pt idx="4">
                  <c:v>2025_3</c:v>
                </c:pt>
                <c:pt idx="5">
                  <c:v>2025_4</c:v>
                </c:pt>
                <c:pt idx="6">
                  <c:v>2025_5</c:v>
                </c:pt>
                <c:pt idx="7">
                  <c:v>2025_6</c:v>
                </c:pt>
                <c:pt idx="8">
                  <c:v>2025_7</c:v>
                </c:pt>
                <c:pt idx="9">
                  <c:v>2025_8</c:v>
                </c:pt>
                <c:pt idx="10">
                  <c:v>2025_9</c:v>
                </c:pt>
                <c:pt idx="11">
                  <c:v>2025_10</c:v>
                </c:pt>
                <c:pt idx="12">
                  <c:v>2025_11</c:v>
                </c:pt>
                <c:pt idx="13">
                  <c:v>2025_12</c:v>
                </c:pt>
                <c:pt idx="14">
                  <c:v>2026_1</c:v>
                </c:pt>
                <c:pt idx="15">
                  <c:v>2026_2</c:v>
                </c:pt>
                <c:pt idx="16">
                  <c:v>2026_3</c:v>
                </c:pt>
                <c:pt idx="17">
                  <c:v>2026_4</c:v>
                </c:pt>
                <c:pt idx="18">
                  <c:v>2026_5</c:v>
                </c:pt>
              </c:strCache>
            </c:strRef>
          </c:cat>
          <c:val>
            <c:numRef>
              <c:f>Sheet2!$F$2:$F$20</c:f>
              <c:numCache>
                <c:formatCode>0</c:formatCode>
                <c:ptCount val="19"/>
                <c:pt idx="0">
                  <c:v>54.833333333333336</c:v>
                </c:pt>
                <c:pt idx="1">
                  <c:v>53.70967741935484</c:v>
                </c:pt>
                <c:pt idx="2">
                  <c:v>55.483870967741936</c:v>
                </c:pt>
                <c:pt idx="3">
                  <c:v>55.714285714285715</c:v>
                </c:pt>
                <c:pt idx="4">
                  <c:v>51.548387096774192</c:v>
                </c:pt>
                <c:pt idx="5">
                  <c:v>77.241379310344826</c:v>
                </c:pt>
                <c:pt idx="6">
                  <c:v>84.857142857142861</c:v>
                </c:pt>
                <c:pt idx="7">
                  <c:v>77.666666666666671</c:v>
                </c:pt>
                <c:pt idx="8">
                  <c:v>67.903225806451616</c:v>
                </c:pt>
                <c:pt idx="9">
                  <c:v>80.294117647058826</c:v>
                </c:pt>
                <c:pt idx="10">
                  <c:v>73.84615384615384</c:v>
                </c:pt>
                <c:pt idx="11">
                  <c:v>69.677419354838705</c:v>
                </c:pt>
                <c:pt idx="12">
                  <c:v>65.592592592592595</c:v>
                </c:pt>
                <c:pt idx="13">
                  <c:v>92.741935483870961</c:v>
                </c:pt>
                <c:pt idx="14">
                  <c:v>101.12903225806451</c:v>
                </c:pt>
                <c:pt idx="15">
                  <c:v>77.263157894736835</c:v>
                </c:pt>
                <c:pt idx="16">
                  <c:v>64.629629629629633</c:v>
                </c:pt>
                <c:pt idx="17">
                  <c:v>108.10344827586206</c:v>
                </c:pt>
                <c:pt idx="18">
                  <c:v>94.032258064516128</c:v>
                </c:pt>
              </c:numCache>
            </c:numRef>
          </c:val>
        </c:ser>
        <c:ser>
          <c:idx val="3"/>
          <c:order val="3"/>
          <c:tx>
            <c:strRef>
              <c:f>Sheet2!$G$1</c:f>
              <c:strCache>
                <c:ptCount val="1"/>
                <c:pt idx="0">
                  <c:v>枚数</c:v>
                </c:pt>
              </c:strCache>
            </c:strRef>
          </c:tx>
          <c:spPr>
            <a:solidFill>
              <a:schemeClr val="accent4"/>
            </a:solidFill>
            <a:ln>
              <a:noFill/>
            </a:ln>
            <a:effectLst/>
          </c:spPr>
          <c:invertIfNegative val="0"/>
          <c:cat>
            <c:strRef>
              <c:f>Sheet2!$C$2:$C$20</c:f>
              <c:strCache>
                <c:ptCount val="19"/>
                <c:pt idx="0">
                  <c:v>2024_11</c:v>
                </c:pt>
                <c:pt idx="1">
                  <c:v>2024_12</c:v>
                </c:pt>
                <c:pt idx="2">
                  <c:v>2025_1</c:v>
                </c:pt>
                <c:pt idx="3">
                  <c:v>2025_2</c:v>
                </c:pt>
                <c:pt idx="4">
                  <c:v>2025_3</c:v>
                </c:pt>
                <c:pt idx="5">
                  <c:v>2025_4</c:v>
                </c:pt>
                <c:pt idx="6">
                  <c:v>2025_5</c:v>
                </c:pt>
                <c:pt idx="7">
                  <c:v>2025_6</c:v>
                </c:pt>
                <c:pt idx="8">
                  <c:v>2025_7</c:v>
                </c:pt>
                <c:pt idx="9">
                  <c:v>2025_8</c:v>
                </c:pt>
                <c:pt idx="10">
                  <c:v>2025_9</c:v>
                </c:pt>
                <c:pt idx="11">
                  <c:v>2025_10</c:v>
                </c:pt>
                <c:pt idx="12">
                  <c:v>2025_11</c:v>
                </c:pt>
                <c:pt idx="13">
                  <c:v>2025_12</c:v>
                </c:pt>
                <c:pt idx="14">
                  <c:v>2026_1</c:v>
                </c:pt>
                <c:pt idx="15">
                  <c:v>2026_2</c:v>
                </c:pt>
                <c:pt idx="16">
                  <c:v>2026_3</c:v>
                </c:pt>
                <c:pt idx="17">
                  <c:v>2026_4</c:v>
                </c:pt>
                <c:pt idx="18">
                  <c:v>2026_5</c:v>
                </c:pt>
              </c:strCache>
            </c:strRef>
          </c:cat>
          <c:val>
            <c:numRef>
              <c:f>Sheet2!$G$2:$G$20</c:f>
              <c:numCache>
                <c:formatCode>0</c:formatCode>
                <c:ptCount val="19"/>
                <c:pt idx="4">
                  <c:v>22.2</c:v>
                </c:pt>
                <c:pt idx="5">
                  <c:v>15.608695652173912</c:v>
                </c:pt>
                <c:pt idx="6">
                  <c:v>0</c:v>
                </c:pt>
                <c:pt idx="7">
                  <c:v>0</c:v>
                </c:pt>
                <c:pt idx="8">
                  <c:v>8.387096774193548</c:v>
                </c:pt>
                <c:pt idx="9">
                  <c:v>10</c:v>
                </c:pt>
                <c:pt idx="10">
                  <c:v>20.428571428571427</c:v>
                </c:pt>
                <c:pt idx="11">
                  <c:v>0</c:v>
                </c:pt>
                <c:pt idx="12">
                  <c:v>19.95</c:v>
                </c:pt>
                <c:pt idx="13">
                  <c:v>28.9</c:v>
                </c:pt>
                <c:pt idx="14">
                  <c:v>30.35</c:v>
                </c:pt>
                <c:pt idx="15">
                  <c:v>18.100000000000001</c:v>
                </c:pt>
                <c:pt idx="16">
                  <c:v>16.399999999999999</c:v>
                </c:pt>
                <c:pt idx="17">
                  <c:v>5.0999999999999996</c:v>
                </c:pt>
                <c:pt idx="18">
                  <c:v>0</c:v>
                </c:pt>
              </c:numCache>
            </c:numRef>
          </c:val>
        </c:ser>
        <c:dLbls>
          <c:showLegendKey val="0"/>
          <c:showVal val="0"/>
          <c:showCatName val="0"/>
          <c:showSerName val="0"/>
          <c:showPercent val="0"/>
          <c:showBubbleSize val="0"/>
        </c:dLbls>
        <c:gapWidth val="219"/>
        <c:overlap val="-27"/>
        <c:axId val="1027425456"/>
        <c:axId val="1027424912"/>
      </c:barChart>
      <c:lineChart>
        <c:grouping val="standard"/>
        <c:varyColors val="0"/>
        <c:ser>
          <c:idx val="4"/>
          <c:order val="4"/>
          <c:tx>
            <c:strRef>
              <c:f>Sheet2!$H$1</c:f>
              <c:strCache>
                <c:ptCount val="1"/>
                <c:pt idx="0">
                  <c:v>task</c:v>
                </c:pt>
              </c:strCache>
            </c:strRef>
          </c:tx>
          <c:spPr>
            <a:ln w="28575" cap="rnd">
              <a:solidFill>
                <a:schemeClr val="accent5"/>
              </a:solidFill>
              <a:round/>
            </a:ln>
            <a:effectLst/>
          </c:spPr>
          <c:marker>
            <c:symbol val="none"/>
          </c:marker>
          <c:cat>
            <c:strRef>
              <c:f>Sheet2!$C$2:$C$20</c:f>
              <c:strCache>
                <c:ptCount val="19"/>
                <c:pt idx="0">
                  <c:v>2024_11</c:v>
                </c:pt>
                <c:pt idx="1">
                  <c:v>2024_12</c:v>
                </c:pt>
                <c:pt idx="2">
                  <c:v>2025_1</c:v>
                </c:pt>
                <c:pt idx="3">
                  <c:v>2025_2</c:v>
                </c:pt>
                <c:pt idx="4">
                  <c:v>2025_3</c:v>
                </c:pt>
                <c:pt idx="5">
                  <c:v>2025_4</c:v>
                </c:pt>
                <c:pt idx="6">
                  <c:v>2025_5</c:v>
                </c:pt>
                <c:pt idx="7">
                  <c:v>2025_6</c:v>
                </c:pt>
                <c:pt idx="8">
                  <c:v>2025_7</c:v>
                </c:pt>
                <c:pt idx="9">
                  <c:v>2025_8</c:v>
                </c:pt>
                <c:pt idx="10">
                  <c:v>2025_9</c:v>
                </c:pt>
                <c:pt idx="11">
                  <c:v>2025_10</c:v>
                </c:pt>
                <c:pt idx="12">
                  <c:v>2025_11</c:v>
                </c:pt>
                <c:pt idx="13">
                  <c:v>2025_12</c:v>
                </c:pt>
                <c:pt idx="14">
                  <c:v>2026_1</c:v>
                </c:pt>
                <c:pt idx="15">
                  <c:v>2026_2</c:v>
                </c:pt>
                <c:pt idx="16">
                  <c:v>2026_3</c:v>
                </c:pt>
                <c:pt idx="17">
                  <c:v>2026_4</c:v>
                </c:pt>
                <c:pt idx="18">
                  <c:v>2026_5</c:v>
                </c:pt>
              </c:strCache>
            </c:strRef>
          </c:cat>
          <c:val>
            <c:numRef>
              <c:f>Sheet2!$H$2:$H$20</c:f>
              <c:numCache>
                <c:formatCode>0%</c:formatCode>
                <c:ptCount val="19"/>
                <c:pt idx="0">
                  <c:v>0.73333333333333328</c:v>
                </c:pt>
                <c:pt idx="1">
                  <c:v>0.77419354838709675</c:v>
                </c:pt>
                <c:pt idx="2">
                  <c:v>0.74193548387096775</c:v>
                </c:pt>
                <c:pt idx="3">
                  <c:v>0.6071428571428571</c:v>
                </c:pt>
                <c:pt idx="4">
                  <c:v>0.80645161290322576</c:v>
                </c:pt>
                <c:pt idx="5">
                  <c:v>0.62068965517241381</c:v>
                </c:pt>
                <c:pt idx="6">
                  <c:v>0.7142857142857143</c:v>
                </c:pt>
                <c:pt idx="7">
                  <c:v>0.53333333333333333</c:v>
                </c:pt>
                <c:pt idx="8">
                  <c:v>0.61290322580645162</c:v>
                </c:pt>
                <c:pt idx="9">
                  <c:v>0.77272727272727271</c:v>
                </c:pt>
                <c:pt idx="10">
                  <c:v>0.66666666666666663</c:v>
                </c:pt>
                <c:pt idx="11">
                  <c:v>0.74193548387096775</c:v>
                </c:pt>
                <c:pt idx="12">
                  <c:v>0.7</c:v>
                </c:pt>
                <c:pt idx="13">
                  <c:v>0.70967741935483875</c:v>
                </c:pt>
                <c:pt idx="14">
                  <c:v>0.61290322580645162</c:v>
                </c:pt>
                <c:pt idx="15">
                  <c:v>0.69230769230769229</c:v>
                </c:pt>
                <c:pt idx="16">
                  <c:v>0.76</c:v>
                </c:pt>
                <c:pt idx="17">
                  <c:v>0.83333333333333337</c:v>
                </c:pt>
                <c:pt idx="18">
                  <c:v>0.83870967741935487</c:v>
                </c:pt>
              </c:numCache>
            </c:numRef>
          </c:val>
          <c:smooth val="0"/>
        </c:ser>
        <c:dLbls>
          <c:showLegendKey val="0"/>
          <c:showVal val="0"/>
          <c:showCatName val="0"/>
          <c:showSerName val="0"/>
          <c:showPercent val="0"/>
          <c:showBubbleSize val="0"/>
        </c:dLbls>
        <c:marker val="1"/>
        <c:smooth val="0"/>
        <c:axId val="1027427088"/>
        <c:axId val="1027426544"/>
      </c:lineChart>
      <c:catAx>
        <c:axId val="102742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27424912"/>
        <c:crosses val="autoZero"/>
        <c:auto val="1"/>
        <c:lblAlgn val="ctr"/>
        <c:lblOffset val="100"/>
        <c:noMultiLvlLbl val="0"/>
      </c:catAx>
      <c:valAx>
        <c:axId val="1027424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27425456"/>
        <c:crosses val="autoZero"/>
        <c:crossBetween val="between"/>
      </c:valAx>
      <c:valAx>
        <c:axId val="10274265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27427088"/>
        <c:crosses val="max"/>
        <c:crossBetween val="between"/>
      </c:valAx>
      <c:catAx>
        <c:axId val="1027427088"/>
        <c:scaling>
          <c:orientation val="minMax"/>
        </c:scaling>
        <c:delete val="1"/>
        <c:axPos val="b"/>
        <c:numFmt formatCode="General" sourceLinked="1"/>
        <c:majorTickMark val="none"/>
        <c:minorTickMark val="none"/>
        <c:tickLblPos val="nextTo"/>
        <c:crossAx val="10274265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206375</xdr:colOff>
      <xdr:row>6</xdr:row>
      <xdr:rowOff>127000</xdr:rowOff>
    </xdr:from>
    <xdr:to>
      <xdr:col>16</xdr:col>
      <xdr:colOff>155575</xdr:colOff>
      <xdr:row>18</xdr:row>
      <xdr:rowOff>127000</xdr:rowOff>
    </xdr:to>
    <xdr:graphicFrame macro="">
      <xdr:nvGraphicFramePr>
        <xdr:cNvPr id="2" name="グラフ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04"/>
  <sheetViews>
    <sheetView tabSelected="1" zoomScaleNormal="60" zoomScaleSheetLayoutView="100" workbookViewId="0">
      <pane xSplit="3" ySplit="1" topLeftCell="D637" activePane="bottomRight" state="frozen"/>
      <selection pane="topRight" activeCell="D1" sqref="D1"/>
      <selection pane="bottomLeft" activeCell="A2" sqref="A2"/>
      <selection pane="bottomRight" activeCell="H650" sqref="H650"/>
    </sheetView>
  </sheetViews>
  <sheetFormatPr defaultRowHeight="18"/>
  <cols>
    <col min="1" max="2" width="1.83203125" style="4" customWidth="1"/>
    <col min="3" max="3" width="11.25" bestFit="1" customWidth="1"/>
    <col min="7" max="8" width="8.6640625" style="8"/>
    <col min="11" max="12" width="8.6640625" style="8"/>
  </cols>
  <sheetData>
    <row r="1" spans="1:14">
      <c r="D1" t="s">
        <v>45</v>
      </c>
      <c r="E1" t="s">
        <v>6</v>
      </c>
      <c r="F1" t="s">
        <v>1</v>
      </c>
      <c r="H1" s="8" t="s">
        <v>37</v>
      </c>
      <c r="I1" t="s">
        <v>23</v>
      </c>
      <c r="J1" t="s">
        <v>73</v>
      </c>
      <c r="K1" s="8" t="s">
        <v>63</v>
      </c>
      <c r="M1" t="s">
        <v>26</v>
      </c>
      <c r="N1" t="s">
        <v>27</v>
      </c>
    </row>
    <row r="2" spans="1:14">
      <c r="A2" s="4">
        <f t="shared" ref="A2:A33" si="0">YEAR(C2)</f>
        <v>2024</v>
      </c>
      <c r="B2" s="4">
        <f t="shared" ref="B2:B33" si="1">MONTH(C2)</f>
        <v>10</v>
      </c>
      <c r="C2" s="1">
        <v>45595</v>
      </c>
      <c r="D2">
        <v>1</v>
      </c>
      <c r="F2">
        <v>78</v>
      </c>
    </row>
    <row r="3" spans="1:14">
      <c r="A3" s="4">
        <f t="shared" si="0"/>
        <v>2024</v>
      </c>
      <c r="B3" s="4">
        <f t="shared" si="1"/>
        <v>10</v>
      </c>
      <c r="C3" s="1">
        <f>C2+1</f>
        <v>45596</v>
      </c>
      <c r="D3">
        <v>1</v>
      </c>
      <c r="F3">
        <v>60</v>
      </c>
      <c r="I3">
        <v>1</v>
      </c>
    </row>
    <row r="4" spans="1:14">
      <c r="A4" s="4">
        <f t="shared" si="0"/>
        <v>2024</v>
      </c>
      <c r="B4" s="4">
        <f t="shared" si="1"/>
        <v>11</v>
      </c>
      <c r="C4" s="1">
        <f>C3+1</f>
        <v>45597</v>
      </c>
      <c r="D4">
        <v>1</v>
      </c>
      <c r="F4">
        <v>60</v>
      </c>
      <c r="I4">
        <v>1</v>
      </c>
    </row>
    <row r="5" spans="1:14">
      <c r="A5" s="4">
        <f t="shared" si="0"/>
        <v>2024</v>
      </c>
      <c r="B5" s="4">
        <f t="shared" si="1"/>
        <v>11</v>
      </c>
      <c r="C5" s="1">
        <v>45598</v>
      </c>
      <c r="D5">
        <v>1</v>
      </c>
      <c r="F5">
        <v>50</v>
      </c>
      <c r="I5">
        <v>1</v>
      </c>
    </row>
    <row r="6" spans="1:14">
      <c r="A6" s="4">
        <f t="shared" si="0"/>
        <v>2024</v>
      </c>
      <c r="B6" s="4">
        <f t="shared" si="1"/>
        <v>11</v>
      </c>
      <c r="C6" s="1">
        <v>45599</v>
      </c>
      <c r="D6">
        <v>1</v>
      </c>
      <c r="F6">
        <v>60</v>
      </c>
      <c r="I6" s="2">
        <v>1</v>
      </c>
      <c r="N6" t="s">
        <v>8</v>
      </c>
    </row>
    <row r="7" spans="1:14">
      <c r="A7" s="4">
        <f t="shared" si="0"/>
        <v>2024</v>
      </c>
      <c r="B7" s="4">
        <f t="shared" si="1"/>
        <v>11</v>
      </c>
      <c r="C7" s="1">
        <v>45600</v>
      </c>
      <c r="D7">
        <v>1</v>
      </c>
      <c r="E7">
        <v>0</v>
      </c>
      <c r="F7">
        <v>60</v>
      </c>
      <c r="I7">
        <v>1</v>
      </c>
    </row>
    <row r="8" spans="1:14">
      <c r="A8" s="4">
        <f t="shared" si="0"/>
        <v>2024</v>
      </c>
      <c r="B8" s="4">
        <f t="shared" si="1"/>
        <v>11</v>
      </c>
      <c r="C8" s="1">
        <f>C7+1</f>
        <v>45601</v>
      </c>
      <c r="D8">
        <v>0</v>
      </c>
      <c r="E8">
        <v>0</v>
      </c>
      <c r="F8">
        <v>60</v>
      </c>
      <c r="I8">
        <v>1</v>
      </c>
      <c r="N8" t="s">
        <v>2</v>
      </c>
    </row>
    <row r="9" spans="1:14">
      <c r="A9" s="4">
        <f t="shared" si="0"/>
        <v>2024</v>
      </c>
      <c r="B9" s="4">
        <f t="shared" si="1"/>
        <v>11</v>
      </c>
      <c r="C9" s="1">
        <f t="shared" ref="C9:C72" si="2">C8+1</f>
        <v>45602</v>
      </c>
      <c r="D9">
        <v>0</v>
      </c>
      <c r="E9">
        <v>0</v>
      </c>
      <c r="F9">
        <v>60</v>
      </c>
      <c r="I9">
        <v>1</v>
      </c>
      <c r="N9" t="s">
        <v>3</v>
      </c>
    </row>
    <row r="10" spans="1:14">
      <c r="A10" s="4">
        <f t="shared" si="0"/>
        <v>2024</v>
      </c>
      <c r="B10" s="4">
        <f t="shared" si="1"/>
        <v>11</v>
      </c>
      <c r="C10" s="1">
        <f t="shared" si="2"/>
        <v>45603</v>
      </c>
      <c r="D10">
        <v>0</v>
      </c>
      <c r="E10">
        <v>0</v>
      </c>
      <c r="F10">
        <v>45</v>
      </c>
      <c r="I10">
        <v>1</v>
      </c>
      <c r="N10" t="s">
        <v>4</v>
      </c>
    </row>
    <row r="11" spans="1:14">
      <c r="A11" s="4">
        <f t="shared" si="0"/>
        <v>2024</v>
      </c>
      <c r="B11" s="4">
        <f t="shared" si="1"/>
        <v>11</v>
      </c>
      <c r="C11" s="1">
        <f t="shared" si="2"/>
        <v>45604</v>
      </c>
      <c r="D11">
        <v>0</v>
      </c>
      <c r="E11">
        <v>0</v>
      </c>
      <c r="F11">
        <v>60</v>
      </c>
      <c r="I11">
        <v>1</v>
      </c>
      <c r="N11" t="s">
        <v>5</v>
      </c>
    </row>
    <row r="12" spans="1:14">
      <c r="A12" s="4">
        <f t="shared" si="0"/>
        <v>2024</v>
      </c>
      <c r="B12" s="4">
        <f t="shared" si="1"/>
        <v>11</v>
      </c>
      <c r="C12" s="1">
        <f t="shared" si="2"/>
        <v>45605</v>
      </c>
      <c r="D12">
        <v>1</v>
      </c>
      <c r="E12">
        <v>0</v>
      </c>
      <c r="F12">
        <v>60</v>
      </c>
      <c r="I12">
        <v>1</v>
      </c>
    </row>
    <row r="13" spans="1:14">
      <c r="A13" s="4">
        <f t="shared" si="0"/>
        <v>2024</v>
      </c>
      <c r="B13" s="4">
        <f t="shared" si="1"/>
        <v>11</v>
      </c>
      <c r="C13" s="1">
        <f t="shared" si="2"/>
        <v>45606</v>
      </c>
      <c r="D13">
        <v>1</v>
      </c>
      <c r="E13">
        <v>0</v>
      </c>
      <c r="F13">
        <v>75</v>
      </c>
      <c r="I13">
        <v>1</v>
      </c>
    </row>
    <row r="14" spans="1:14">
      <c r="A14" s="4">
        <f t="shared" si="0"/>
        <v>2024</v>
      </c>
      <c r="B14" s="4">
        <f t="shared" si="1"/>
        <v>11</v>
      </c>
      <c r="C14" s="1">
        <f t="shared" si="2"/>
        <v>45607</v>
      </c>
      <c r="D14">
        <v>1</v>
      </c>
      <c r="E14">
        <v>0</v>
      </c>
      <c r="F14">
        <v>40</v>
      </c>
      <c r="I14">
        <v>1</v>
      </c>
    </row>
    <row r="15" spans="1:14">
      <c r="A15" s="4">
        <f t="shared" si="0"/>
        <v>2024</v>
      </c>
      <c r="B15" s="4">
        <f t="shared" si="1"/>
        <v>11</v>
      </c>
      <c r="C15" s="1">
        <f t="shared" si="2"/>
        <v>45608</v>
      </c>
      <c r="D15">
        <v>1</v>
      </c>
      <c r="E15">
        <v>0</v>
      </c>
      <c r="F15">
        <v>60</v>
      </c>
      <c r="I15">
        <v>1</v>
      </c>
      <c r="N15" t="s">
        <v>7</v>
      </c>
    </row>
    <row r="16" spans="1:14">
      <c r="A16" s="4">
        <f t="shared" si="0"/>
        <v>2024</v>
      </c>
      <c r="B16" s="4">
        <f t="shared" si="1"/>
        <v>11</v>
      </c>
      <c r="C16" s="1">
        <f t="shared" si="2"/>
        <v>45609</v>
      </c>
      <c r="D16">
        <v>0</v>
      </c>
      <c r="E16">
        <v>1</v>
      </c>
      <c r="F16">
        <v>80</v>
      </c>
      <c r="I16">
        <v>1</v>
      </c>
    </row>
    <row r="17" spans="1:14">
      <c r="A17" s="4">
        <f t="shared" si="0"/>
        <v>2024</v>
      </c>
      <c r="B17" s="4">
        <f t="shared" si="1"/>
        <v>11</v>
      </c>
      <c r="C17" s="1">
        <f t="shared" si="2"/>
        <v>45610</v>
      </c>
      <c r="D17">
        <v>0</v>
      </c>
      <c r="E17">
        <v>0</v>
      </c>
      <c r="F17">
        <v>60</v>
      </c>
      <c r="I17">
        <v>0</v>
      </c>
    </row>
    <row r="18" spans="1:14">
      <c r="A18" s="4">
        <f t="shared" si="0"/>
        <v>2024</v>
      </c>
      <c r="B18" s="4">
        <f t="shared" si="1"/>
        <v>11</v>
      </c>
      <c r="C18" s="1">
        <f t="shared" si="2"/>
        <v>45611</v>
      </c>
      <c r="D18">
        <v>0</v>
      </c>
      <c r="E18">
        <v>0</v>
      </c>
      <c r="F18">
        <v>30</v>
      </c>
      <c r="I18">
        <v>0</v>
      </c>
      <c r="N18" t="s">
        <v>9</v>
      </c>
    </row>
    <row r="19" spans="1:14">
      <c r="A19" s="4">
        <f t="shared" si="0"/>
        <v>2024</v>
      </c>
      <c r="B19" s="4">
        <f t="shared" si="1"/>
        <v>11</v>
      </c>
      <c r="C19" s="1">
        <f t="shared" si="2"/>
        <v>45612</v>
      </c>
      <c r="D19">
        <v>1</v>
      </c>
      <c r="E19">
        <v>0</v>
      </c>
      <c r="F19">
        <v>80</v>
      </c>
      <c r="I19">
        <v>1</v>
      </c>
    </row>
    <row r="20" spans="1:14">
      <c r="A20" s="4">
        <f t="shared" si="0"/>
        <v>2024</v>
      </c>
      <c r="B20" s="4">
        <f t="shared" si="1"/>
        <v>11</v>
      </c>
      <c r="C20" s="1">
        <f t="shared" si="2"/>
        <v>45613</v>
      </c>
      <c r="D20">
        <v>0</v>
      </c>
      <c r="E20">
        <v>0</v>
      </c>
      <c r="F20">
        <v>60</v>
      </c>
      <c r="I20">
        <v>1</v>
      </c>
    </row>
    <row r="21" spans="1:14">
      <c r="A21" s="4">
        <f t="shared" si="0"/>
        <v>2024</v>
      </c>
      <c r="B21" s="4">
        <f t="shared" si="1"/>
        <v>11</v>
      </c>
      <c r="C21" s="1">
        <f t="shared" si="2"/>
        <v>45614</v>
      </c>
      <c r="D21">
        <v>1</v>
      </c>
      <c r="E21">
        <v>0</v>
      </c>
      <c r="F21">
        <v>60</v>
      </c>
      <c r="I21">
        <v>0</v>
      </c>
    </row>
    <row r="22" spans="1:14">
      <c r="A22" s="4">
        <f t="shared" si="0"/>
        <v>2024</v>
      </c>
      <c r="B22" s="4">
        <f t="shared" si="1"/>
        <v>11</v>
      </c>
      <c r="C22" s="1">
        <f t="shared" si="2"/>
        <v>45615</v>
      </c>
      <c r="D22">
        <v>0</v>
      </c>
      <c r="E22">
        <v>0</v>
      </c>
      <c r="F22">
        <v>60</v>
      </c>
      <c r="I22">
        <v>1</v>
      </c>
      <c r="N22" t="s">
        <v>10</v>
      </c>
    </row>
    <row r="23" spans="1:14">
      <c r="A23" s="4">
        <f t="shared" si="0"/>
        <v>2024</v>
      </c>
      <c r="B23" s="4">
        <f t="shared" si="1"/>
        <v>11</v>
      </c>
      <c r="C23" s="1">
        <f t="shared" si="2"/>
        <v>45616</v>
      </c>
      <c r="D23">
        <v>0</v>
      </c>
      <c r="E23">
        <v>0</v>
      </c>
      <c r="F23">
        <v>50</v>
      </c>
      <c r="I23">
        <v>0</v>
      </c>
      <c r="N23" t="s">
        <v>11</v>
      </c>
    </row>
    <row r="24" spans="1:14">
      <c r="A24" s="4">
        <f t="shared" si="0"/>
        <v>2024</v>
      </c>
      <c r="B24" s="4">
        <f t="shared" si="1"/>
        <v>11</v>
      </c>
      <c r="C24" s="1">
        <f t="shared" si="2"/>
        <v>45617</v>
      </c>
      <c r="D24" s="8">
        <v>1</v>
      </c>
      <c r="E24" s="8">
        <v>0</v>
      </c>
      <c r="F24" s="8">
        <v>30</v>
      </c>
      <c r="I24" s="8">
        <v>1</v>
      </c>
    </row>
    <row r="25" spans="1:14">
      <c r="A25" s="4">
        <f t="shared" si="0"/>
        <v>2024</v>
      </c>
      <c r="B25" s="4">
        <f t="shared" si="1"/>
        <v>11</v>
      </c>
      <c r="C25" s="1">
        <f t="shared" si="2"/>
        <v>45618</v>
      </c>
      <c r="D25" s="7">
        <v>1</v>
      </c>
      <c r="E25" s="7">
        <v>0</v>
      </c>
      <c r="F25" s="7">
        <v>30</v>
      </c>
      <c r="I25" s="7">
        <v>0</v>
      </c>
    </row>
    <row r="26" spans="1:14">
      <c r="A26" s="4">
        <f t="shared" si="0"/>
        <v>2024</v>
      </c>
      <c r="B26" s="4">
        <f t="shared" si="1"/>
        <v>11</v>
      </c>
      <c r="C26" s="1">
        <f t="shared" si="2"/>
        <v>45619</v>
      </c>
      <c r="D26" s="7">
        <v>0</v>
      </c>
      <c r="E26" s="7">
        <v>0</v>
      </c>
      <c r="F26" s="7">
        <v>40</v>
      </c>
      <c r="I26" s="7">
        <v>1</v>
      </c>
      <c r="N26" t="s">
        <v>12</v>
      </c>
    </row>
    <row r="27" spans="1:14">
      <c r="A27" s="4">
        <f t="shared" si="0"/>
        <v>2024</v>
      </c>
      <c r="B27" s="4">
        <f t="shared" si="1"/>
        <v>11</v>
      </c>
      <c r="C27" s="1">
        <f t="shared" si="2"/>
        <v>45620</v>
      </c>
      <c r="D27">
        <v>1</v>
      </c>
      <c r="E27">
        <v>0</v>
      </c>
      <c r="F27">
        <v>50</v>
      </c>
      <c r="I27">
        <v>0</v>
      </c>
    </row>
    <row r="28" spans="1:14">
      <c r="A28" s="4">
        <f t="shared" si="0"/>
        <v>2024</v>
      </c>
      <c r="B28" s="4">
        <f t="shared" si="1"/>
        <v>11</v>
      </c>
      <c r="C28" s="1">
        <f t="shared" si="2"/>
        <v>45621</v>
      </c>
      <c r="D28">
        <v>1</v>
      </c>
      <c r="E28">
        <v>1</v>
      </c>
      <c r="F28">
        <v>90</v>
      </c>
      <c r="I28">
        <v>1</v>
      </c>
    </row>
    <row r="29" spans="1:14">
      <c r="A29" s="4">
        <f t="shared" si="0"/>
        <v>2024</v>
      </c>
      <c r="B29" s="4">
        <f t="shared" si="1"/>
        <v>11</v>
      </c>
      <c r="C29" s="1">
        <f t="shared" si="2"/>
        <v>45622</v>
      </c>
      <c r="D29">
        <v>1</v>
      </c>
      <c r="E29">
        <v>0</v>
      </c>
      <c r="F29">
        <v>40</v>
      </c>
      <c r="I29">
        <v>0</v>
      </c>
    </row>
    <row r="30" spans="1:14">
      <c r="A30" s="4">
        <f t="shared" si="0"/>
        <v>2024</v>
      </c>
      <c r="B30" s="4">
        <f t="shared" si="1"/>
        <v>11</v>
      </c>
      <c r="C30" s="1">
        <f t="shared" si="2"/>
        <v>45623</v>
      </c>
      <c r="D30">
        <v>0</v>
      </c>
      <c r="E30">
        <v>0</v>
      </c>
      <c r="F30">
        <v>40</v>
      </c>
      <c r="I30">
        <v>1</v>
      </c>
    </row>
    <row r="31" spans="1:14">
      <c r="A31" s="4">
        <f t="shared" si="0"/>
        <v>2024</v>
      </c>
      <c r="B31" s="4">
        <f t="shared" si="1"/>
        <v>11</v>
      </c>
      <c r="C31" s="1">
        <f t="shared" si="2"/>
        <v>45624</v>
      </c>
      <c r="D31">
        <v>1</v>
      </c>
      <c r="E31">
        <v>1</v>
      </c>
      <c r="F31">
        <v>60</v>
      </c>
      <c r="I31">
        <v>0</v>
      </c>
    </row>
    <row r="32" spans="1:14">
      <c r="A32" s="4">
        <f t="shared" si="0"/>
        <v>2024</v>
      </c>
      <c r="B32" s="4">
        <f t="shared" si="1"/>
        <v>11</v>
      </c>
      <c r="C32" s="1">
        <f t="shared" si="2"/>
        <v>45625</v>
      </c>
      <c r="D32">
        <v>0</v>
      </c>
      <c r="E32">
        <v>0</v>
      </c>
      <c r="F32">
        <v>45</v>
      </c>
      <c r="I32">
        <v>1</v>
      </c>
      <c r="N32" t="s">
        <v>13</v>
      </c>
    </row>
    <row r="33" spans="1:14">
      <c r="A33" s="4">
        <f t="shared" si="0"/>
        <v>2024</v>
      </c>
      <c r="B33" s="4">
        <f t="shared" si="1"/>
        <v>11</v>
      </c>
      <c r="C33" s="1">
        <f t="shared" si="2"/>
        <v>45626</v>
      </c>
      <c r="D33">
        <v>1</v>
      </c>
      <c r="E33">
        <v>0</v>
      </c>
      <c r="F33">
        <v>50</v>
      </c>
      <c r="I33">
        <v>1</v>
      </c>
      <c r="N33" t="s">
        <v>14</v>
      </c>
    </row>
    <row r="34" spans="1:14">
      <c r="A34" s="4">
        <f t="shared" ref="A34:A59" si="3">YEAR(C34)</f>
        <v>2024</v>
      </c>
      <c r="B34" s="4">
        <f t="shared" ref="B34:B59" si="4">MONTH(C34)</f>
        <v>12</v>
      </c>
      <c r="C34" s="1">
        <f t="shared" si="2"/>
        <v>45627</v>
      </c>
      <c r="D34">
        <v>1</v>
      </c>
      <c r="E34">
        <v>1</v>
      </c>
      <c r="F34">
        <v>60</v>
      </c>
      <c r="I34">
        <v>1</v>
      </c>
    </row>
    <row r="35" spans="1:14">
      <c r="A35" s="4">
        <f t="shared" si="3"/>
        <v>2024</v>
      </c>
      <c r="B35" s="4">
        <f t="shared" si="4"/>
        <v>12</v>
      </c>
      <c r="C35" s="1">
        <f t="shared" si="2"/>
        <v>45628</v>
      </c>
      <c r="D35">
        <v>0</v>
      </c>
      <c r="E35">
        <v>1</v>
      </c>
      <c r="F35">
        <v>60</v>
      </c>
      <c r="I35">
        <v>1</v>
      </c>
      <c r="N35" t="s">
        <v>15</v>
      </c>
    </row>
    <row r="36" spans="1:14">
      <c r="A36" s="4">
        <f t="shared" si="3"/>
        <v>2024</v>
      </c>
      <c r="B36" s="4">
        <f t="shared" si="4"/>
        <v>12</v>
      </c>
      <c r="C36" s="1">
        <f t="shared" si="2"/>
        <v>45629</v>
      </c>
      <c r="D36">
        <v>0</v>
      </c>
      <c r="E36">
        <v>0</v>
      </c>
      <c r="F36">
        <v>0</v>
      </c>
      <c r="I36">
        <v>0</v>
      </c>
    </row>
    <row r="37" spans="1:14">
      <c r="A37" s="4">
        <f t="shared" si="3"/>
        <v>2024</v>
      </c>
      <c r="B37" s="4">
        <f t="shared" si="4"/>
        <v>12</v>
      </c>
      <c r="C37" s="1">
        <f t="shared" si="2"/>
        <v>45630</v>
      </c>
      <c r="D37">
        <v>1</v>
      </c>
      <c r="E37">
        <v>0</v>
      </c>
      <c r="F37">
        <v>0</v>
      </c>
      <c r="I37">
        <v>1</v>
      </c>
      <c r="N37" t="s">
        <v>16</v>
      </c>
    </row>
    <row r="38" spans="1:14">
      <c r="A38" s="4">
        <f t="shared" si="3"/>
        <v>2024</v>
      </c>
      <c r="B38" s="4">
        <f t="shared" si="4"/>
        <v>12</v>
      </c>
      <c r="C38" s="1">
        <f t="shared" si="2"/>
        <v>45631</v>
      </c>
      <c r="D38">
        <v>0</v>
      </c>
      <c r="E38">
        <v>0</v>
      </c>
      <c r="F38">
        <v>50</v>
      </c>
      <c r="I38">
        <v>1</v>
      </c>
      <c r="M38" t="s">
        <v>17</v>
      </c>
      <c r="N38" t="s">
        <v>18</v>
      </c>
    </row>
    <row r="39" spans="1:14">
      <c r="A39" s="4">
        <f t="shared" si="3"/>
        <v>2024</v>
      </c>
      <c r="B39" s="4">
        <f t="shared" si="4"/>
        <v>12</v>
      </c>
      <c r="C39" s="1">
        <f t="shared" si="2"/>
        <v>45632</v>
      </c>
      <c r="D39">
        <v>1</v>
      </c>
      <c r="E39" s="9">
        <v>0.25</v>
      </c>
      <c r="F39">
        <v>40</v>
      </c>
      <c r="I39">
        <v>1</v>
      </c>
    </row>
    <row r="40" spans="1:14">
      <c r="A40" s="4">
        <f t="shared" si="3"/>
        <v>2024</v>
      </c>
      <c r="B40" s="4">
        <f t="shared" si="4"/>
        <v>12</v>
      </c>
      <c r="C40" s="1">
        <f t="shared" si="2"/>
        <v>45633</v>
      </c>
      <c r="D40">
        <v>1</v>
      </c>
      <c r="E40" s="9">
        <v>0.23611111111111113</v>
      </c>
      <c r="F40">
        <v>50</v>
      </c>
      <c r="I40">
        <v>1</v>
      </c>
    </row>
    <row r="41" spans="1:14">
      <c r="A41" s="4">
        <f t="shared" si="3"/>
        <v>2024</v>
      </c>
      <c r="B41" s="4">
        <f t="shared" si="4"/>
        <v>12</v>
      </c>
      <c r="C41" s="1">
        <f t="shared" si="2"/>
        <v>45634</v>
      </c>
      <c r="D41">
        <v>1</v>
      </c>
      <c r="E41" s="9">
        <v>0.21319444444444444</v>
      </c>
      <c r="F41">
        <v>60</v>
      </c>
      <c r="I41">
        <v>0</v>
      </c>
    </row>
    <row r="42" spans="1:14">
      <c r="A42" s="4">
        <f t="shared" si="3"/>
        <v>2024</v>
      </c>
      <c r="B42" s="4">
        <f t="shared" si="4"/>
        <v>12</v>
      </c>
      <c r="C42" s="1">
        <f t="shared" si="2"/>
        <v>45635</v>
      </c>
      <c r="D42">
        <v>1</v>
      </c>
      <c r="E42" s="9">
        <v>0.22152777777777777</v>
      </c>
      <c r="F42">
        <v>60</v>
      </c>
      <c r="I42">
        <v>1</v>
      </c>
    </row>
    <row r="43" spans="1:14">
      <c r="A43" s="4">
        <f t="shared" si="3"/>
        <v>2024</v>
      </c>
      <c r="B43" s="4">
        <f t="shared" si="4"/>
        <v>12</v>
      </c>
      <c r="C43" s="1">
        <f t="shared" si="2"/>
        <v>45636</v>
      </c>
      <c r="D43">
        <v>1</v>
      </c>
      <c r="E43" s="9">
        <v>0.25</v>
      </c>
      <c r="F43">
        <v>65</v>
      </c>
      <c r="I43">
        <v>1</v>
      </c>
    </row>
    <row r="44" spans="1:14">
      <c r="A44" s="4">
        <f t="shared" si="3"/>
        <v>2024</v>
      </c>
      <c r="B44" s="4">
        <f t="shared" si="4"/>
        <v>12</v>
      </c>
      <c r="C44" s="1">
        <f t="shared" si="2"/>
        <v>45637</v>
      </c>
      <c r="D44">
        <v>1</v>
      </c>
      <c r="E44" s="9">
        <v>0.24583333333333335</v>
      </c>
      <c r="F44">
        <v>35</v>
      </c>
      <c r="I44">
        <v>1</v>
      </c>
    </row>
    <row r="45" spans="1:14">
      <c r="A45" s="4">
        <f t="shared" si="3"/>
        <v>2024</v>
      </c>
      <c r="B45" s="4">
        <f t="shared" si="4"/>
        <v>12</v>
      </c>
      <c r="C45" s="1">
        <f t="shared" si="2"/>
        <v>45638</v>
      </c>
      <c r="D45">
        <v>1</v>
      </c>
      <c r="E45" s="9">
        <v>0.26041666666666669</v>
      </c>
      <c r="F45">
        <v>65</v>
      </c>
      <c r="I45">
        <v>1</v>
      </c>
    </row>
    <row r="46" spans="1:14">
      <c r="A46" s="4">
        <f t="shared" si="3"/>
        <v>2024</v>
      </c>
      <c r="B46" s="4">
        <f t="shared" si="4"/>
        <v>12</v>
      </c>
      <c r="C46" s="1">
        <f t="shared" si="2"/>
        <v>45639</v>
      </c>
      <c r="D46">
        <v>1</v>
      </c>
      <c r="E46" s="9">
        <v>0.21180555555555555</v>
      </c>
      <c r="F46">
        <v>60</v>
      </c>
      <c r="I46">
        <v>1</v>
      </c>
    </row>
    <row r="47" spans="1:14">
      <c r="A47" s="4">
        <f t="shared" si="3"/>
        <v>2024</v>
      </c>
      <c r="B47" s="4">
        <f t="shared" si="4"/>
        <v>12</v>
      </c>
      <c r="C47" s="1">
        <f t="shared" si="2"/>
        <v>45640</v>
      </c>
      <c r="D47">
        <v>0</v>
      </c>
      <c r="E47" s="9">
        <v>0.29166666666666669</v>
      </c>
      <c r="F47">
        <v>60</v>
      </c>
      <c r="I47">
        <v>1</v>
      </c>
      <c r="N47" t="s">
        <v>19</v>
      </c>
    </row>
    <row r="48" spans="1:14">
      <c r="A48" s="4">
        <f t="shared" si="3"/>
        <v>2024</v>
      </c>
      <c r="B48" s="4">
        <f t="shared" si="4"/>
        <v>12</v>
      </c>
      <c r="C48" s="1">
        <f t="shared" si="2"/>
        <v>45641</v>
      </c>
      <c r="D48">
        <v>1</v>
      </c>
      <c r="E48" s="9">
        <v>0.21180555555555555</v>
      </c>
      <c r="F48">
        <v>60</v>
      </c>
      <c r="I48">
        <v>1</v>
      </c>
      <c r="N48" t="s">
        <v>20</v>
      </c>
    </row>
    <row r="49" spans="1:14">
      <c r="A49" s="4">
        <f t="shared" si="3"/>
        <v>2024</v>
      </c>
      <c r="B49" s="4">
        <f t="shared" si="4"/>
        <v>12</v>
      </c>
      <c r="C49" s="1">
        <f t="shared" si="2"/>
        <v>45642</v>
      </c>
      <c r="D49">
        <v>0</v>
      </c>
      <c r="E49" s="9">
        <v>0.23263888888888887</v>
      </c>
      <c r="F49">
        <v>60</v>
      </c>
      <c r="I49">
        <v>1</v>
      </c>
      <c r="N49" t="s">
        <v>21</v>
      </c>
    </row>
    <row r="50" spans="1:14">
      <c r="A50" s="4">
        <f t="shared" si="3"/>
        <v>2024</v>
      </c>
      <c r="B50" s="4">
        <f t="shared" si="4"/>
        <v>12</v>
      </c>
      <c r="C50" s="1">
        <f t="shared" si="2"/>
        <v>45643</v>
      </c>
      <c r="D50">
        <v>1</v>
      </c>
      <c r="E50" s="9">
        <v>0.21458333333333335</v>
      </c>
      <c r="F50">
        <v>75</v>
      </c>
      <c r="I50">
        <v>0</v>
      </c>
    </row>
    <row r="51" spans="1:14">
      <c r="A51" s="4">
        <f t="shared" si="3"/>
        <v>2024</v>
      </c>
      <c r="B51" s="4">
        <f t="shared" si="4"/>
        <v>12</v>
      </c>
      <c r="C51" s="1">
        <f t="shared" si="2"/>
        <v>45644</v>
      </c>
      <c r="D51">
        <v>1</v>
      </c>
      <c r="E51" s="9">
        <v>0.27777777777777779</v>
      </c>
      <c r="F51">
        <v>60</v>
      </c>
      <c r="I51">
        <v>1</v>
      </c>
    </row>
    <row r="52" spans="1:14">
      <c r="A52" s="4">
        <f t="shared" si="3"/>
        <v>2024</v>
      </c>
      <c r="B52" s="4">
        <f t="shared" si="4"/>
        <v>12</v>
      </c>
      <c r="C52" s="1">
        <f t="shared" si="2"/>
        <v>45645</v>
      </c>
      <c r="D52">
        <v>0</v>
      </c>
      <c r="E52" s="9">
        <v>0.25694444444444448</v>
      </c>
      <c r="F52">
        <v>55</v>
      </c>
      <c r="I52">
        <v>1</v>
      </c>
    </row>
    <row r="53" spans="1:14">
      <c r="A53" s="4">
        <f t="shared" si="3"/>
        <v>2024</v>
      </c>
      <c r="B53" s="4">
        <f t="shared" si="4"/>
        <v>12</v>
      </c>
      <c r="C53" s="1">
        <f t="shared" si="2"/>
        <v>45646</v>
      </c>
      <c r="D53">
        <v>0</v>
      </c>
      <c r="E53" s="9">
        <v>0.25</v>
      </c>
      <c r="F53">
        <v>60</v>
      </c>
      <c r="I53">
        <v>0</v>
      </c>
      <c r="N53" t="s">
        <v>22</v>
      </c>
    </row>
    <row r="54" spans="1:14">
      <c r="A54" s="4">
        <f t="shared" si="3"/>
        <v>2024</v>
      </c>
      <c r="B54" s="4">
        <f t="shared" si="4"/>
        <v>12</v>
      </c>
      <c r="C54" s="1">
        <f t="shared" si="2"/>
        <v>45647</v>
      </c>
      <c r="D54">
        <v>1</v>
      </c>
      <c r="E54" s="9">
        <v>0.25</v>
      </c>
      <c r="F54">
        <v>60</v>
      </c>
      <c r="I54">
        <v>0</v>
      </c>
    </row>
    <row r="55" spans="1:14">
      <c r="A55" s="4">
        <f t="shared" si="3"/>
        <v>2024</v>
      </c>
      <c r="B55" s="4">
        <f t="shared" si="4"/>
        <v>12</v>
      </c>
      <c r="C55" s="1">
        <f t="shared" si="2"/>
        <v>45648</v>
      </c>
      <c r="D55">
        <v>1</v>
      </c>
      <c r="E55" s="9">
        <v>0.2673611111111111</v>
      </c>
      <c r="F55">
        <v>0</v>
      </c>
      <c r="I55">
        <v>1</v>
      </c>
    </row>
    <row r="56" spans="1:14">
      <c r="A56" s="4">
        <f t="shared" si="3"/>
        <v>2024</v>
      </c>
      <c r="B56" s="4">
        <f t="shared" si="4"/>
        <v>12</v>
      </c>
      <c r="C56" s="1">
        <f t="shared" si="2"/>
        <v>45649</v>
      </c>
      <c r="D56">
        <v>1</v>
      </c>
      <c r="E56" s="9">
        <v>0.28125</v>
      </c>
      <c r="F56">
        <v>60</v>
      </c>
      <c r="I56">
        <v>0</v>
      </c>
    </row>
    <row r="57" spans="1:14">
      <c r="A57" s="4">
        <f t="shared" si="3"/>
        <v>2024</v>
      </c>
      <c r="B57" s="4">
        <f t="shared" si="4"/>
        <v>12</v>
      </c>
      <c r="C57" s="1">
        <f t="shared" si="2"/>
        <v>45650</v>
      </c>
      <c r="D57">
        <v>1</v>
      </c>
      <c r="E57" s="9">
        <v>0.24236111111111111</v>
      </c>
      <c r="F57">
        <v>60</v>
      </c>
      <c r="I57">
        <v>1</v>
      </c>
    </row>
    <row r="58" spans="1:14">
      <c r="A58" s="4">
        <f t="shared" si="3"/>
        <v>2024</v>
      </c>
      <c r="B58" s="4">
        <f t="shared" si="4"/>
        <v>12</v>
      </c>
      <c r="C58" s="1">
        <f t="shared" si="2"/>
        <v>45651</v>
      </c>
      <c r="D58">
        <v>0</v>
      </c>
      <c r="E58" s="9">
        <v>0.23055555555555554</v>
      </c>
      <c r="F58">
        <v>60</v>
      </c>
      <c r="I58">
        <v>0</v>
      </c>
      <c r="N58" t="s">
        <v>24</v>
      </c>
    </row>
    <row r="59" spans="1:14">
      <c r="A59" s="4">
        <f t="shared" si="3"/>
        <v>2024</v>
      </c>
      <c r="B59" s="4">
        <f t="shared" si="4"/>
        <v>12</v>
      </c>
      <c r="C59" s="1">
        <f t="shared" si="2"/>
        <v>45652</v>
      </c>
      <c r="D59">
        <v>0</v>
      </c>
      <c r="E59" s="9">
        <v>0.23680555555555557</v>
      </c>
      <c r="F59">
        <v>60</v>
      </c>
      <c r="I59">
        <v>1</v>
      </c>
    </row>
    <row r="60" spans="1:14">
      <c r="A60" s="4">
        <f t="shared" ref="A60:A92" si="5">YEAR(C60)</f>
        <v>2024</v>
      </c>
      <c r="B60" s="4">
        <f t="shared" ref="B60:B92" si="6">MONTH(C60)</f>
        <v>12</v>
      </c>
      <c r="C60" s="1">
        <f t="shared" si="2"/>
        <v>45653</v>
      </c>
      <c r="D60">
        <v>1</v>
      </c>
      <c r="E60" s="9">
        <v>0.24861111111111112</v>
      </c>
      <c r="F60">
        <v>60</v>
      </c>
      <c r="I60">
        <v>1</v>
      </c>
    </row>
    <row r="61" spans="1:14">
      <c r="A61" s="4">
        <f t="shared" si="5"/>
        <v>2024</v>
      </c>
      <c r="B61" s="4">
        <f t="shared" si="6"/>
        <v>12</v>
      </c>
      <c r="C61" s="1">
        <f t="shared" si="2"/>
        <v>45654</v>
      </c>
      <c r="D61">
        <v>0</v>
      </c>
      <c r="E61" s="9">
        <v>0.24166666666666667</v>
      </c>
      <c r="F61">
        <v>60</v>
      </c>
      <c r="I61">
        <v>1</v>
      </c>
      <c r="N61" t="s">
        <v>25</v>
      </c>
    </row>
    <row r="62" spans="1:14">
      <c r="A62" s="4">
        <f t="shared" si="5"/>
        <v>2024</v>
      </c>
      <c r="B62" s="4">
        <f t="shared" si="6"/>
        <v>12</v>
      </c>
      <c r="C62" s="1">
        <f t="shared" si="2"/>
        <v>45655</v>
      </c>
      <c r="D62">
        <v>0</v>
      </c>
      <c r="E62" s="9">
        <v>0.24861111111111112</v>
      </c>
      <c r="F62">
        <v>60</v>
      </c>
      <c r="I62">
        <v>1</v>
      </c>
    </row>
    <row r="63" spans="1:14">
      <c r="A63" s="4">
        <f t="shared" si="5"/>
        <v>2024</v>
      </c>
      <c r="B63" s="4">
        <f t="shared" si="6"/>
        <v>12</v>
      </c>
      <c r="C63" s="1">
        <f t="shared" si="2"/>
        <v>45656</v>
      </c>
      <c r="D63">
        <v>1</v>
      </c>
      <c r="E63" s="9">
        <v>0.21805555555555556</v>
      </c>
      <c r="F63">
        <v>90</v>
      </c>
      <c r="I63">
        <v>1</v>
      </c>
    </row>
    <row r="64" spans="1:14">
      <c r="A64" s="4">
        <f t="shared" si="5"/>
        <v>2024</v>
      </c>
      <c r="B64" s="4">
        <f t="shared" si="6"/>
        <v>12</v>
      </c>
      <c r="C64" s="1">
        <f t="shared" si="2"/>
        <v>45657</v>
      </c>
      <c r="D64">
        <v>1</v>
      </c>
      <c r="E64" s="9">
        <v>0.31944444444444448</v>
      </c>
      <c r="F64">
        <v>60</v>
      </c>
      <c r="I64">
        <v>1</v>
      </c>
    </row>
    <row r="65" spans="1:14">
      <c r="A65" s="4">
        <f t="shared" si="5"/>
        <v>2025</v>
      </c>
      <c r="B65" s="4">
        <f t="shared" si="6"/>
        <v>1</v>
      </c>
      <c r="C65" s="1">
        <f t="shared" si="2"/>
        <v>45658</v>
      </c>
      <c r="D65">
        <v>1</v>
      </c>
      <c r="E65" s="9">
        <v>0.29166666666666669</v>
      </c>
      <c r="F65">
        <v>60</v>
      </c>
      <c r="I65">
        <v>1</v>
      </c>
    </row>
    <row r="66" spans="1:14">
      <c r="A66" s="4">
        <f t="shared" si="5"/>
        <v>2025</v>
      </c>
      <c r="B66" s="4">
        <f t="shared" si="6"/>
        <v>1</v>
      </c>
      <c r="C66" s="1">
        <f t="shared" si="2"/>
        <v>45659</v>
      </c>
      <c r="D66">
        <v>1</v>
      </c>
      <c r="E66" s="9">
        <v>0.22916666666666666</v>
      </c>
      <c r="F66">
        <v>60</v>
      </c>
      <c r="I66">
        <v>1</v>
      </c>
    </row>
    <row r="67" spans="1:14">
      <c r="A67" s="4">
        <f t="shared" si="5"/>
        <v>2025</v>
      </c>
      <c r="B67" s="4">
        <f t="shared" si="6"/>
        <v>1</v>
      </c>
      <c r="C67" s="1">
        <f t="shared" si="2"/>
        <v>45660</v>
      </c>
      <c r="D67">
        <v>1</v>
      </c>
      <c r="E67" s="9">
        <v>0.23333333333333331</v>
      </c>
      <c r="F67">
        <v>40</v>
      </c>
      <c r="I67">
        <v>1</v>
      </c>
    </row>
    <row r="68" spans="1:14">
      <c r="A68" s="4">
        <f t="shared" si="5"/>
        <v>2025</v>
      </c>
      <c r="B68" s="4">
        <f t="shared" si="6"/>
        <v>1</v>
      </c>
      <c r="C68" s="1">
        <f t="shared" si="2"/>
        <v>45661</v>
      </c>
      <c r="D68">
        <v>1</v>
      </c>
      <c r="E68" s="9">
        <v>0.33333333333333331</v>
      </c>
      <c r="F68">
        <v>0</v>
      </c>
      <c r="I68">
        <v>1</v>
      </c>
    </row>
    <row r="69" spans="1:14">
      <c r="A69" s="4">
        <f t="shared" si="5"/>
        <v>2025</v>
      </c>
      <c r="B69" s="4">
        <f t="shared" si="6"/>
        <v>1</v>
      </c>
      <c r="C69" s="1">
        <f t="shared" si="2"/>
        <v>45662</v>
      </c>
      <c r="D69">
        <v>1</v>
      </c>
      <c r="E69" s="9">
        <v>0.27083333333333331</v>
      </c>
      <c r="F69">
        <v>60</v>
      </c>
      <c r="I69">
        <v>0</v>
      </c>
    </row>
    <row r="70" spans="1:14">
      <c r="A70" s="4">
        <f t="shared" si="5"/>
        <v>2025</v>
      </c>
      <c r="B70" s="4">
        <f t="shared" si="6"/>
        <v>1</v>
      </c>
      <c r="C70" s="1">
        <f t="shared" si="2"/>
        <v>45663</v>
      </c>
      <c r="D70">
        <v>0</v>
      </c>
      <c r="E70" s="9">
        <v>0.27777777777777779</v>
      </c>
      <c r="F70">
        <v>65</v>
      </c>
      <c r="I70">
        <v>1</v>
      </c>
      <c r="N70" t="s">
        <v>28</v>
      </c>
    </row>
    <row r="71" spans="1:14">
      <c r="A71" s="4">
        <f t="shared" si="5"/>
        <v>2025</v>
      </c>
      <c r="B71" s="4">
        <f t="shared" si="6"/>
        <v>1</v>
      </c>
      <c r="C71" s="1">
        <f t="shared" si="2"/>
        <v>45664</v>
      </c>
      <c r="D71">
        <v>0</v>
      </c>
      <c r="E71" s="9">
        <v>0.27777777777777779</v>
      </c>
      <c r="F71">
        <v>60</v>
      </c>
      <c r="I71">
        <v>1</v>
      </c>
    </row>
    <row r="72" spans="1:14">
      <c r="A72" s="4">
        <f t="shared" si="5"/>
        <v>2025</v>
      </c>
      <c r="B72" s="4">
        <f t="shared" si="6"/>
        <v>1</v>
      </c>
      <c r="C72" s="1">
        <f t="shared" si="2"/>
        <v>45665</v>
      </c>
      <c r="D72">
        <v>0</v>
      </c>
      <c r="E72" s="9">
        <v>0.24374999999999999</v>
      </c>
      <c r="F72">
        <v>60</v>
      </c>
      <c r="I72">
        <v>1</v>
      </c>
    </row>
    <row r="73" spans="1:14">
      <c r="A73" s="4">
        <f t="shared" si="5"/>
        <v>2025</v>
      </c>
      <c r="B73" s="4">
        <f t="shared" si="6"/>
        <v>1</v>
      </c>
      <c r="C73" s="1">
        <f t="shared" ref="C73:C136" si="7">C72+1</f>
        <v>45666</v>
      </c>
      <c r="D73">
        <v>1</v>
      </c>
      <c r="E73" s="9">
        <v>0.23611111111111113</v>
      </c>
      <c r="F73">
        <v>60</v>
      </c>
      <c r="I73">
        <v>1</v>
      </c>
    </row>
    <row r="74" spans="1:14">
      <c r="A74" s="4">
        <f t="shared" si="5"/>
        <v>2025</v>
      </c>
      <c r="B74" s="4">
        <f t="shared" si="6"/>
        <v>1</v>
      </c>
      <c r="C74" s="1">
        <f t="shared" si="7"/>
        <v>45667</v>
      </c>
      <c r="D74">
        <v>0</v>
      </c>
      <c r="E74" s="9">
        <v>0.28125</v>
      </c>
      <c r="F74">
        <v>0</v>
      </c>
      <c r="I74">
        <v>1</v>
      </c>
    </row>
    <row r="75" spans="1:14">
      <c r="A75" s="4">
        <f t="shared" si="5"/>
        <v>2025</v>
      </c>
      <c r="B75" s="4">
        <f t="shared" si="6"/>
        <v>1</v>
      </c>
      <c r="C75" s="1">
        <f t="shared" si="7"/>
        <v>45668</v>
      </c>
      <c r="D75">
        <v>1</v>
      </c>
      <c r="E75" s="9">
        <v>0.27083333333333331</v>
      </c>
      <c r="F75">
        <v>40</v>
      </c>
      <c r="I75">
        <v>1</v>
      </c>
    </row>
    <row r="76" spans="1:14">
      <c r="A76" s="4">
        <f t="shared" si="5"/>
        <v>2025</v>
      </c>
      <c r="B76" s="4">
        <f t="shared" si="6"/>
        <v>1</v>
      </c>
      <c r="C76" s="1">
        <f t="shared" si="7"/>
        <v>45669</v>
      </c>
      <c r="D76">
        <v>1</v>
      </c>
      <c r="E76" s="9">
        <v>0.25</v>
      </c>
      <c r="F76">
        <v>60</v>
      </c>
      <c r="I76">
        <v>0</v>
      </c>
    </row>
    <row r="77" spans="1:14">
      <c r="A77" s="4">
        <f t="shared" si="5"/>
        <v>2025</v>
      </c>
      <c r="B77" s="4">
        <f t="shared" si="6"/>
        <v>1</v>
      </c>
      <c r="C77" s="1">
        <f t="shared" si="7"/>
        <v>45670</v>
      </c>
      <c r="D77" s="8">
        <v>1</v>
      </c>
      <c r="E77" s="9">
        <v>0.25</v>
      </c>
      <c r="F77">
        <v>0</v>
      </c>
      <c r="I77">
        <v>0</v>
      </c>
    </row>
    <row r="78" spans="1:14">
      <c r="A78" s="4">
        <f t="shared" si="5"/>
        <v>2025</v>
      </c>
      <c r="B78" s="4">
        <f t="shared" si="6"/>
        <v>1</v>
      </c>
      <c r="C78" s="1">
        <f t="shared" si="7"/>
        <v>45671</v>
      </c>
      <c r="D78" s="8">
        <v>1</v>
      </c>
      <c r="E78" s="9">
        <v>0.28125</v>
      </c>
      <c r="F78">
        <v>0</v>
      </c>
      <c r="I78">
        <v>0</v>
      </c>
    </row>
    <row r="79" spans="1:14">
      <c r="A79" s="4">
        <f t="shared" si="5"/>
        <v>2025</v>
      </c>
      <c r="B79" s="4">
        <f t="shared" si="6"/>
        <v>1</v>
      </c>
      <c r="C79" s="1">
        <f t="shared" si="7"/>
        <v>45672</v>
      </c>
      <c r="D79">
        <v>1</v>
      </c>
      <c r="E79" s="9">
        <v>0.28125</v>
      </c>
      <c r="F79">
        <v>60</v>
      </c>
      <c r="I79">
        <v>1</v>
      </c>
    </row>
    <row r="80" spans="1:14">
      <c r="A80" s="4">
        <f t="shared" si="5"/>
        <v>2025</v>
      </c>
      <c r="B80" s="4">
        <f t="shared" si="6"/>
        <v>1</v>
      </c>
      <c r="C80" s="1">
        <f t="shared" si="7"/>
        <v>45673</v>
      </c>
      <c r="D80">
        <v>1</v>
      </c>
      <c r="E80" s="9">
        <v>0.23194444444444443</v>
      </c>
      <c r="F80">
        <v>60</v>
      </c>
      <c r="I80">
        <v>0</v>
      </c>
    </row>
    <row r="81" spans="1:14">
      <c r="A81" s="4">
        <f t="shared" si="5"/>
        <v>2025</v>
      </c>
      <c r="B81" s="4">
        <f t="shared" si="6"/>
        <v>1</v>
      </c>
      <c r="C81" s="1">
        <f t="shared" si="7"/>
        <v>45674</v>
      </c>
      <c r="D81">
        <v>0</v>
      </c>
      <c r="E81" s="9">
        <v>0.21736111111111112</v>
      </c>
      <c r="F81">
        <v>80</v>
      </c>
      <c r="I81">
        <v>1</v>
      </c>
      <c r="N81" t="s">
        <v>29</v>
      </c>
    </row>
    <row r="82" spans="1:14">
      <c r="A82" s="4">
        <f t="shared" si="5"/>
        <v>2025</v>
      </c>
      <c r="B82" s="4">
        <f t="shared" si="6"/>
        <v>1</v>
      </c>
      <c r="C82" s="1">
        <f t="shared" si="7"/>
        <v>45675</v>
      </c>
      <c r="D82">
        <v>1</v>
      </c>
      <c r="E82" s="9">
        <v>0.25486111111111109</v>
      </c>
      <c r="F82">
        <v>60</v>
      </c>
      <c r="I82">
        <v>0</v>
      </c>
    </row>
    <row r="83" spans="1:14">
      <c r="A83" s="4">
        <f t="shared" si="5"/>
        <v>2025</v>
      </c>
      <c r="B83" s="4">
        <f t="shared" si="6"/>
        <v>1</v>
      </c>
      <c r="C83" s="1">
        <f t="shared" si="7"/>
        <v>45676</v>
      </c>
      <c r="D83">
        <v>1</v>
      </c>
      <c r="E83" s="9">
        <v>0.2986111111111111</v>
      </c>
      <c r="F83">
        <v>60</v>
      </c>
      <c r="I83">
        <v>0</v>
      </c>
    </row>
    <row r="84" spans="1:14">
      <c r="A84" s="4">
        <f t="shared" si="5"/>
        <v>2025</v>
      </c>
      <c r="B84" s="4">
        <f t="shared" si="6"/>
        <v>1</v>
      </c>
      <c r="C84" s="1">
        <f t="shared" si="7"/>
        <v>45677</v>
      </c>
      <c r="D84">
        <v>0</v>
      </c>
      <c r="E84" s="9">
        <v>0.21527777777777779</v>
      </c>
      <c r="F84">
        <v>85</v>
      </c>
      <c r="I84">
        <v>1</v>
      </c>
    </row>
    <row r="85" spans="1:14">
      <c r="A85" s="4">
        <f t="shared" si="5"/>
        <v>2025</v>
      </c>
      <c r="B85" s="4">
        <f t="shared" si="6"/>
        <v>1</v>
      </c>
      <c r="C85" s="1">
        <f t="shared" si="7"/>
        <v>45678</v>
      </c>
      <c r="D85">
        <v>0</v>
      </c>
      <c r="E85" s="9">
        <v>0.28125</v>
      </c>
      <c r="F85">
        <v>60</v>
      </c>
      <c r="I85">
        <v>1</v>
      </c>
    </row>
    <row r="86" spans="1:14">
      <c r="A86" s="4">
        <f t="shared" si="5"/>
        <v>2025</v>
      </c>
      <c r="B86" s="4">
        <f t="shared" si="6"/>
        <v>1</v>
      </c>
      <c r="C86" s="1">
        <f t="shared" si="7"/>
        <v>45679</v>
      </c>
      <c r="D86">
        <v>1</v>
      </c>
      <c r="E86" s="9">
        <v>0.22916666666666666</v>
      </c>
      <c r="F86">
        <v>60</v>
      </c>
      <c r="I86">
        <v>1</v>
      </c>
    </row>
    <row r="87" spans="1:14">
      <c r="A87" s="4">
        <f t="shared" si="5"/>
        <v>2025</v>
      </c>
      <c r="B87" s="4">
        <f t="shared" si="6"/>
        <v>1</v>
      </c>
      <c r="C87" s="1">
        <f t="shared" si="7"/>
        <v>45680</v>
      </c>
      <c r="D87">
        <v>1</v>
      </c>
      <c r="E87" s="9">
        <v>0.20833333333333334</v>
      </c>
      <c r="F87">
        <v>90</v>
      </c>
      <c r="I87">
        <v>0</v>
      </c>
    </row>
    <row r="88" spans="1:14">
      <c r="A88" s="4">
        <f t="shared" si="5"/>
        <v>2025</v>
      </c>
      <c r="B88" s="4">
        <f t="shared" si="6"/>
        <v>1</v>
      </c>
      <c r="C88" s="1">
        <f t="shared" si="7"/>
        <v>45681</v>
      </c>
      <c r="D88">
        <v>0</v>
      </c>
      <c r="E88" s="9">
        <v>0.21111111111111111</v>
      </c>
      <c r="F88">
        <v>60</v>
      </c>
      <c r="I88">
        <v>1</v>
      </c>
    </row>
    <row r="89" spans="1:14">
      <c r="A89" s="4">
        <f t="shared" si="5"/>
        <v>2025</v>
      </c>
      <c r="B89" s="4">
        <f t="shared" si="6"/>
        <v>1</v>
      </c>
      <c r="C89" s="1">
        <f t="shared" si="7"/>
        <v>45682</v>
      </c>
      <c r="D89">
        <v>1</v>
      </c>
      <c r="E89" s="9">
        <v>0.25</v>
      </c>
      <c r="F89">
        <v>60</v>
      </c>
      <c r="I89">
        <v>1</v>
      </c>
    </row>
    <row r="90" spans="1:14">
      <c r="A90" s="4">
        <f t="shared" si="5"/>
        <v>2025</v>
      </c>
      <c r="B90" s="4">
        <f t="shared" si="6"/>
        <v>1</v>
      </c>
      <c r="C90" s="1">
        <f t="shared" si="7"/>
        <v>45683</v>
      </c>
      <c r="D90">
        <v>1</v>
      </c>
      <c r="E90" s="9">
        <v>0.22916666666666666</v>
      </c>
      <c r="F90">
        <v>60</v>
      </c>
      <c r="I90">
        <v>1</v>
      </c>
    </row>
    <row r="91" spans="1:14">
      <c r="A91" s="4">
        <f t="shared" si="5"/>
        <v>2025</v>
      </c>
      <c r="B91" s="4">
        <f t="shared" si="6"/>
        <v>1</v>
      </c>
      <c r="C91" s="1">
        <f t="shared" si="7"/>
        <v>45684</v>
      </c>
      <c r="D91">
        <v>1</v>
      </c>
      <c r="E91" s="9">
        <v>0.22222222222222221</v>
      </c>
      <c r="F91">
        <v>60</v>
      </c>
      <c r="I91">
        <v>1</v>
      </c>
    </row>
    <row r="92" spans="1:14">
      <c r="A92" s="4">
        <f t="shared" si="5"/>
        <v>2025</v>
      </c>
      <c r="B92" s="4">
        <f t="shared" si="6"/>
        <v>1</v>
      </c>
      <c r="C92" s="1">
        <f t="shared" si="7"/>
        <v>45685</v>
      </c>
      <c r="D92">
        <v>1</v>
      </c>
      <c r="E92" s="9">
        <v>0.21319444444444444</v>
      </c>
      <c r="F92">
        <v>90</v>
      </c>
      <c r="I92">
        <v>1</v>
      </c>
    </row>
    <row r="93" spans="1:14">
      <c r="A93" s="4">
        <f t="shared" ref="A93:A106" si="8">YEAR(C93)</f>
        <v>2025</v>
      </c>
      <c r="B93" s="4">
        <f t="shared" ref="B93:B106" si="9">MONTH(C93)</f>
        <v>1</v>
      </c>
      <c r="C93" s="1">
        <f t="shared" si="7"/>
        <v>45686</v>
      </c>
      <c r="D93">
        <v>1</v>
      </c>
      <c r="E93" s="9">
        <v>0.21875</v>
      </c>
      <c r="F93">
        <v>80</v>
      </c>
      <c r="I93">
        <v>1</v>
      </c>
    </row>
    <row r="94" spans="1:14">
      <c r="A94" s="4">
        <f t="shared" si="8"/>
        <v>2025</v>
      </c>
      <c r="B94" s="4">
        <f t="shared" si="9"/>
        <v>1</v>
      </c>
      <c r="C94" s="1">
        <f t="shared" si="7"/>
        <v>45687</v>
      </c>
      <c r="D94">
        <v>1</v>
      </c>
      <c r="E94" s="9">
        <v>0.21527777777777779</v>
      </c>
      <c r="F94">
        <v>80</v>
      </c>
      <c r="I94">
        <v>1</v>
      </c>
    </row>
    <row r="95" spans="1:14">
      <c r="A95" s="4">
        <f t="shared" si="8"/>
        <v>2025</v>
      </c>
      <c r="B95" s="4">
        <f t="shared" si="9"/>
        <v>1</v>
      </c>
      <c r="C95" s="1">
        <f t="shared" si="7"/>
        <v>45688</v>
      </c>
      <c r="D95">
        <v>0</v>
      </c>
      <c r="E95" s="9">
        <v>0.24652777777777779</v>
      </c>
      <c r="F95">
        <v>50</v>
      </c>
      <c r="I95">
        <v>1</v>
      </c>
    </row>
    <row r="96" spans="1:14">
      <c r="A96" s="4">
        <f t="shared" si="8"/>
        <v>2025</v>
      </c>
      <c r="B96" s="4">
        <f t="shared" si="9"/>
        <v>2</v>
      </c>
      <c r="C96" s="1">
        <f t="shared" si="7"/>
        <v>45689</v>
      </c>
      <c r="D96">
        <v>0</v>
      </c>
      <c r="E96" s="9">
        <v>0.24305555555555555</v>
      </c>
      <c r="F96">
        <v>40</v>
      </c>
      <c r="I96">
        <v>0</v>
      </c>
    </row>
    <row r="97" spans="1:14">
      <c r="A97" s="4">
        <f t="shared" si="8"/>
        <v>2025</v>
      </c>
      <c r="B97" s="4">
        <f t="shared" si="9"/>
        <v>2</v>
      </c>
      <c r="C97" s="1">
        <f t="shared" si="7"/>
        <v>45690</v>
      </c>
      <c r="D97">
        <v>1</v>
      </c>
      <c r="E97" s="9">
        <v>0.21527777777777779</v>
      </c>
      <c r="F97">
        <v>105</v>
      </c>
      <c r="I97">
        <v>1</v>
      </c>
    </row>
    <row r="98" spans="1:14">
      <c r="A98" s="4">
        <f t="shared" si="8"/>
        <v>2025</v>
      </c>
      <c r="B98" s="4">
        <f t="shared" si="9"/>
        <v>2</v>
      </c>
      <c r="C98" s="1">
        <f t="shared" si="7"/>
        <v>45691</v>
      </c>
      <c r="D98">
        <v>1</v>
      </c>
      <c r="E98" s="9">
        <v>0.22569444444444445</v>
      </c>
      <c r="F98">
        <v>60</v>
      </c>
      <c r="I98">
        <v>1</v>
      </c>
    </row>
    <row r="99" spans="1:14">
      <c r="A99" s="4">
        <f t="shared" si="8"/>
        <v>2025</v>
      </c>
      <c r="B99" s="4">
        <f t="shared" si="9"/>
        <v>2</v>
      </c>
      <c r="C99" s="1">
        <f t="shared" si="7"/>
        <v>45692</v>
      </c>
      <c r="D99">
        <v>1</v>
      </c>
      <c r="E99" s="9">
        <v>0.22222222222222221</v>
      </c>
      <c r="F99">
        <v>60</v>
      </c>
      <c r="I99">
        <v>1</v>
      </c>
    </row>
    <row r="100" spans="1:14">
      <c r="A100" s="4">
        <f t="shared" si="8"/>
        <v>2025</v>
      </c>
      <c r="B100" s="4">
        <f t="shared" si="9"/>
        <v>2</v>
      </c>
      <c r="C100" s="1">
        <f t="shared" si="7"/>
        <v>45693</v>
      </c>
      <c r="D100">
        <v>0</v>
      </c>
      <c r="E100" s="9">
        <v>0.22222222222222221</v>
      </c>
      <c r="F100">
        <v>60</v>
      </c>
      <c r="I100">
        <v>1</v>
      </c>
      <c r="N100" t="s">
        <v>30</v>
      </c>
    </row>
    <row r="101" spans="1:14">
      <c r="A101" s="4">
        <f t="shared" si="8"/>
        <v>2025</v>
      </c>
      <c r="B101" s="4">
        <f t="shared" si="9"/>
        <v>2</v>
      </c>
      <c r="C101" s="1">
        <f t="shared" si="7"/>
        <v>45694</v>
      </c>
      <c r="D101">
        <v>1</v>
      </c>
      <c r="E101" s="9">
        <v>0.28125</v>
      </c>
      <c r="F101" s="8">
        <v>60</v>
      </c>
      <c r="I101">
        <v>1</v>
      </c>
    </row>
    <row r="102" spans="1:14">
      <c r="A102" s="4">
        <f t="shared" si="8"/>
        <v>2025</v>
      </c>
      <c r="B102" s="4">
        <f t="shared" si="9"/>
        <v>2</v>
      </c>
      <c r="C102" s="1">
        <f t="shared" si="7"/>
        <v>45695</v>
      </c>
      <c r="D102">
        <v>1</v>
      </c>
      <c r="E102" s="9">
        <v>0.24305555555555555</v>
      </c>
      <c r="F102">
        <v>75</v>
      </c>
      <c r="I102">
        <v>1</v>
      </c>
    </row>
    <row r="103" spans="1:14">
      <c r="A103" s="4">
        <f t="shared" si="8"/>
        <v>2025</v>
      </c>
      <c r="B103" s="4">
        <f t="shared" si="9"/>
        <v>2</v>
      </c>
      <c r="C103" s="1">
        <f t="shared" si="7"/>
        <v>45696</v>
      </c>
      <c r="D103">
        <v>1</v>
      </c>
      <c r="E103" s="9">
        <v>0.25</v>
      </c>
      <c r="F103">
        <v>90</v>
      </c>
      <c r="I103">
        <v>0</v>
      </c>
    </row>
    <row r="104" spans="1:14">
      <c r="A104" s="4">
        <f t="shared" si="8"/>
        <v>2025</v>
      </c>
      <c r="B104" s="4">
        <f t="shared" si="9"/>
        <v>2</v>
      </c>
      <c r="C104" s="1">
        <f t="shared" si="7"/>
        <v>45697</v>
      </c>
      <c r="D104">
        <v>0</v>
      </c>
      <c r="E104" s="9">
        <v>0.32291666666666669</v>
      </c>
      <c r="F104">
        <v>65</v>
      </c>
      <c r="I104">
        <v>1</v>
      </c>
    </row>
    <row r="105" spans="1:14">
      <c r="A105" s="4">
        <f t="shared" si="8"/>
        <v>2025</v>
      </c>
      <c r="B105" s="4">
        <f t="shared" si="9"/>
        <v>2</v>
      </c>
      <c r="C105" s="1">
        <f t="shared" si="7"/>
        <v>45698</v>
      </c>
      <c r="D105">
        <v>1</v>
      </c>
      <c r="E105" s="9">
        <v>0.21458333333333335</v>
      </c>
      <c r="F105">
        <v>85</v>
      </c>
      <c r="I105">
        <v>1</v>
      </c>
    </row>
    <row r="106" spans="1:14">
      <c r="A106" s="4">
        <f t="shared" si="8"/>
        <v>2025</v>
      </c>
      <c r="B106" s="4">
        <f t="shared" si="9"/>
        <v>2</v>
      </c>
      <c r="C106" s="1">
        <f t="shared" si="7"/>
        <v>45699</v>
      </c>
      <c r="D106">
        <v>0</v>
      </c>
      <c r="E106" s="9">
        <v>0.29166666666666669</v>
      </c>
      <c r="F106">
        <v>0</v>
      </c>
      <c r="I106">
        <v>0</v>
      </c>
    </row>
    <row r="107" spans="1:14">
      <c r="A107" s="4">
        <f t="shared" ref="A107:A140" si="10">YEAR(C107)</f>
        <v>2025</v>
      </c>
      <c r="B107" s="4">
        <f t="shared" ref="B107:B140" si="11">MONTH(C107)</f>
        <v>2</v>
      </c>
      <c r="C107" s="1">
        <f t="shared" si="7"/>
        <v>45700</v>
      </c>
      <c r="D107">
        <v>0</v>
      </c>
      <c r="E107" s="9">
        <v>0.23611111111111113</v>
      </c>
      <c r="F107">
        <v>55</v>
      </c>
      <c r="I107">
        <v>1</v>
      </c>
    </row>
    <row r="108" spans="1:14">
      <c r="A108" s="4">
        <f t="shared" si="10"/>
        <v>2025</v>
      </c>
      <c r="B108" s="4">
        <f t="shared" si="11"/>
        <v>2</v>
      </c>
      <c r="C108" s="1">
        <f t="shared" si="7"/>
        <v>45701</v>
      </c>
      <c r="D108">
        <v>1</v>
      </c>
      <c r="E108" s="9">
        <v>0.23472222222222219</v>
      </c>
      <c r="F108">
        <v>60</v>
      </c>
      <c r="I108">
        <v>0</v>
      </c>
    </row>
    <row r="109" spans="1:14">
      <c r="A109" s="4">
        <f t="shared" si="10"/>
        <v>2025</v>
      </c>
      <c r="B109" s="4">
        <f t="shared" si="11"/>
        <v>2</v>
      </c>
      <c r="C109" s="1">
        <f t="shared" si="7"/>
        <v>45702</v>
      </c>
      <c r="D109">
        <v>1</v>
      </c>
      <c r="E109" s="9">
        <v>0.23472222222222219</v>
      </c>
      <c r="F109">
        <v>40</v>
      </c>
      <c r="I109">
        <v>1</v>
      </c>
    </row>
    <row r="110" spans="1:14">
      <c r="A110" s="4">
        <f t="shared" si="10"/>
        <v>2025</v>
      </c>
      <c r="B110" s="4">
        <f t="shared" si="11"/>
        <v>2</v>
      </c>
      <c r="C110" s="1">
        <f t="shared" si="7"/>
        <v>45703</v>
      </c>
      <c r="D110">
        <v>0</v>
      </c>
      <c r="E110" s="9">
        <v>0.30208333333333331</v>
      </c>
      <c r="F110">
        <v>30</v>
      </c>
      <c r="I110">
        <v>0</v>
      </c>
      <c r="N110" t="s">
        <v>31</v>
      </c>
    </row>
    <row r="111" spans="1:14">
      <c r="A111" s="4">
        <f t="shared" si="10"/>
        <v>2025</v>
      </c>
      <c r="B111" s="4">
        <f t="shared" si="11"/>
        <v>2</v>
      </c>
      <c r="C111" s="1">
        <f t="shared" si="7"/>
        <v>45704</v>
      </c>
      <c r="D111">
        <v>0</v>
      </c>
      <c r="E111" s="9">
        <v>0.24236111111111111</v>
      </c>
      <c r="F111">
        <v>40</v>
      </c>
      <c r="I111">
        <v>1</v>
      </c>
      <c r="N111" t="s">
        <v>32</v>
      </c>
    </row>
    <row r="112" spans="1:14">
      <c r="A112" s="4">
        <f t="shared" si="10"/>
        <v>2025</v>
      </c>
      <c r="B112" s="4">
        <f t="shared" si="11"/>
        <v>2</v>
      </c>
      <c r="C112" s="1">
        <f t="shared" si="7"/>
        <v>45705</v>
      </c>
      <c r="D112">
        <v>1</v>
      </c>
      <c r="E112" s="9">
        <v>0.24305555555555555</v>
      </c>
      <c r="F112" s="8">
        <v>40</v>
      </c>
      <c r="I112">
        <v>1</v>
      </c>
    </row>
    <row r="113" spans="1:14">
      <c r="A113" s="4">
        <f t="shared" si="10"/>
        <v>2025</v>
      </c>
      <c r="B113" s="4">
        <f t="shared" si="11"/>
        <v>2</v>
      </c>
      <c r="C113" s="1">
        <f t="shared" si="7"/>
        <v>45706</v>
      </c>
      <c r="D113">
        <v>1</v>
      </c>
      <c r="E113" s="9">
        <v>0.22916666666666666</v>
      </c>
      <c r="F113">
        <v>90</v>
      </c>
      <c r="I113">
        <v>1</v>
      </c>
    </row>
    <row r="114" spans="1:14">
      <c r="A114" s="4">
        <f t="shared" si="10"/>
        <v>2025</v>
      </c>
      <c r="B114" s="4">
        <f t="shared" si="11"/>
        <v>2</v>
      </c>
      <c r="C114" s="1">
        <f t="shared" si="7"/>
        <v>45707</v>
      </c>
      <c r="D114">
        <v>1</v>
      </c>
      <c r="E114" s="9">
        <v>0.22569444444444445</v>
      </c>
      <c r="F114">
        <v>65</v>
      </c>
      <c r="I114">
        <v>0</v>
      </c>
    </row>
    <row r="115" spans="1:14">
      <c r="A115" s="4">
        <f t="shared" si="10"/>
        <v>2025</v>
      </c>
      <c r="B115" s="4">
        <f t="shared" si="11"/>
        <v>2</v>
      </c>
      <c r="C115" s="1">
        <f t="shared" si="7"/>
        <v>45708</v>
      </c>
      <c r="D115">
        <v>1</v>
      </c>
      <c r="E115" s="9">
        <v>0.22083333333333333</v>
      </c>
      <c r="F115">
        <v>105</v>
      </c>
      <c r="I115">
        <v>1</v>
      </c>
    </row>
    <row r="116" spans="1:14">
      <c r="A116" s="4">
        <f t="shared" si="10"/>
        <v>2025</v>
      </c>
      <c r="B116" s="4">
        <f t="shared" si="11"/>
        <v>2</v>
      </c>
      <c r="C116" s="1">
        <f t="shared" si="7"/>
        <v>45709</v>
      </c>
      <c r="D116">
        <v>1</v>
      </c>
      <c r="E116" s="9">
        <v>0.2388888888888889</v>
      </c>
      <c r="F116">
        <v>40</v>
      </c>
      <c r="I116">
        <v>0</v>
      </c>
    </row>
    <row r="117" spans="1:14">
      <c r="A117" s="4">
        <f t="shared" si="10"/>
        <v>2025</v>
      </c>
      <c r="B117" s="4">
        <f t="shared" si="11"/>
        <v>2</v>
      </c>
      <c r="C117" s="1">
        <f t="shared" si="7"/>
        <v>45710</v>
      </c>
      <c r="D117">
        <v>1</v>
      </c>
      <c r="E117" s="9">
        <v>0.29166666666666669</v>
      </c>
      <c r="F117">
        <v>0</v>
      </c>
      <c r="I117">
        <v>1</v>
      </c>
    </row>
    <row r="118" spans="1:14">
      <c r="A118" s="4">
        <f t="shared" si="10"/>
        <v>2025</v>
      </c>
      <c r="B118" s="4">
        <f t="shared" si="11"/>
        <v>2</v>
      </c>
      <c r="C118" s="1">
        <f t="shared" si="7"/>
        <v>45711</v>
      </c>
      <c r="D118">
        <v>1</v>
      </c>
      <c r="E118" s="9">
        <v>0.30208333333333331</v>
      </c>
      <c r="F118">
        <v>60</v>
      </c>
      <c r="I118">
        <v>0</v>
      </c>
    </row>
    <row r="119" spans="1:14">
      <c r="A119" s="4">
        <f t="shared" si="10"/>
        <v>2025</v>
      </c>
      <c r="B119" s="4">
        <f t="shared" si="11"/>
        <v>2</v>
      </c>
      <c r="C119" s="1">
        <f t="shared" si="7"/>
        <v>45712</v>
      </c>
      <c r="D119">
        <v>1</v>
      </c>
      <c r="E119" s="9">
        <v>0.30208333333333331</v>
      </c>
      <c r="F119">
        <v>120</v>
      </c>
      <c r="I119">
        <v>0</v>
      </c>
    </row>
    <row r="120" spans="1:14">
      <c r="A120" s="4">
        <f t="shared" si="10"/>
        <v>2025</v>
      </c>
      <c r="B120" s="4">
        <f t="shared" si="11"/>
        <v>2</v>
      </c>
      <c r="C120" s="1">
        <f t="shared" si="7"/>
        <v>45713</v>
      </c>
      <c r="D120">
        <v>1</v>
      </c>
      <c r="E120" s="9">
        <v>0.25486111111111109</v>
      </c>
      <c r="F120">
        <v>25</v>
      </c>
      <c r="I120">
        <v>1</v>
      </c>
    </row>
    <row r="121" spans="1:14">
      <c r="A121" s="4">
        <f t="shared" si="10"/>
        <v>2025</v>
      </c>
      <c r="B121" s="4">
        <f t="shared" si="11"/>
        <v>2</v>
      </c>
      <c r="C121" s="1">
        <f t="shared" si="7"/>
        <v>45714</v>
      </c>
      <c r="D121">
        <v>0</v>
      </c>
      <c r="E121" s="9">
        <v>0.28125</v>
      </c>
      <c r="F121">
        <v>0</v>
      </c>
      <c r="I121">
        <v>0</v>
      </c>
      <c r="N121" t="s">
        <v>33</v>
      </c>
    </row>
    <row r="122" spans="1:14">
      <c r="A122" s="4">
        <f t="shared" si="10"/>
        <v>2025</v>
      </c>
      <c r="B122" s="4">
        <f t="shared" si="11"/>
        <v>2</v>
      </c>
      <c r="C122" s="1">
        <f t="shared" si="7"/>
        <v>45715</v>
      </c>
      <c r="D122">
        <v>1</v>
      </c>
      <c r="E122" s="9">
        <v>0.28125</v>
      </c>
      <c r="F122">
        <v>60</v>
      </c>
      <c r="I122">
        <v>1</v>
      </c>
    </row>
    <row r="123" spans="1:14">
      <c r="A123" s="4">
        <f t="shared" si="10"/>
        <v>2025</v>
      </c>
      <c r="B123" s="4">
        <f t="shared" si="11"/>
        <v>2</v>
      </c>
      <c r="C123" s="1">
        <f t="shared" si="7"/>
        <v>45716</v>
      </c>
      <c r="D123">
        <v>1</v>
      </c>
      <c r="E123" s="9">
        <v>0.25</v>
      </c>
      <c r="F123">
        <v>30</v>
      </c>
      <c r="I123">
        <v>0</v>
      </c>
    </row>
    <row r="124" spans="1:14">
      <c r="A124" s="4">
        <f t="shared" si="10"/>
        <v>2025</v>
      </c>
      <c r="B124" s="4">
        <f t="shared" si="11"/>
        <v>3</v>
      </c>
      <c r="C124" s="1">
        <f t="shared" si="7"/>
        <v>45717</v>
      </c>
      <c r="D124">
        <v>1</v>
      </c>
      <c r="E124" s="9">
        <v>0.26041666666666669</v>
      </c>
      <c r="F124">
        <v>60</v>
      </c>
      <c r="I124" s="8">
        <v>1</v>
      </c>
    </row>
    <row r="125" spans="1:14">
      <c r="A125" s="4">
        <f t="shared" si="10"/>
        <v>2025</v>
      </c>
      <c r="B125" s="4">
        <f t="shared" si="11"/>
        <v>3</v>
      </c>
      <c r="C125" s="1">
        <f t="shared" si="7"/>
        <v>45718</v>
      </c>
      <c r="D125">
        <v>1</v>
      </c>
      <c r="E125" s="9">
        <v>0.30208333333333331</v>
      </c>
      <c r="F125">
        <v>60</v>
      </c>
      <c r="I125" s="8">
        <v>1</v>
      </c>
    </row>
    <row r="126" spans="1:14">
      <c r="A126" s="4">
        <f t="shared" si="10"/>
        <v>2025</v>
      </c>
      <c r="B126" s="4">
        <f t="shared" si="11"/>
        <v>3</v>
      </c>
      <c r="C126" s="1">
        <f t="shared" si="7"/>
        <v>45719</v>
      </c>
      <c r="D126">
        <v>1</v>
      </c>
      <c r="E126" s="9">
        <v>0.25</v>
      </c>
      <c r="F126">
        <v>60</v>
      </c>
      <c r="I126">
        <v>1</v>
      </c>
    </row>
    <row r="127" spans="1:14">
      <c r="A127" s="4">
        <f t="shared" si="10"/>
        <v>2025</v>
      </c>
      <c r="B127" s="4">
        <f t="shared" si="11"/>
        <v>3</v>
      </c>
      <c r="C127" s="1">
        <f t="shared" si="7"/>
        <v>45720</v>
      </c>
      <c r="D127">
        <v>0</v>
      </c>
      <c r="E127" s="9">
        <v>0.25</v>
      </c>
      <c r="F127">
        <v>60</v>
      </c>
      <c r="I127">
        <v>1</v>
      </c>
      <c r="N127" t="s">
        <v>34</v>
      </c>
    </row>
    <row r="128" spans="1:14">
      <c r="A128" s="4">
        <f t="shared" si="10"/>
        <v>2025</v>
      </c>
      <c r="B128" s="4">
        <f t="shared" si="11"/>
        <v>3</v>
      </c>
      <c r="C128" s="1">
        <f t="shared" si="7"/>
        <v>45721</v>
      </c>
      <c r="D128">
        <v>1</v>
      </c>
      <c r="E128" s="9">
        <v>0.21527777777777779</v>
      </c>
      <c r="F128">
        <v>88</v>
      </c>
      <c r="I128">
        <v>1</v>
      </c>
    </row>
    <row r="129" spans="1:14">
      <c r="A129" s="4">
        <f t="shared" si="10"/>
        <v>2025</v>
      </c>
      <c r="B129" s="4">
        <f t="shared" si="11"/>
        <v>3</v>
      </c>
      <c r="C129" s="1">
        <f t="shared" si="7"/>
        <v>45722</v>
      </c>
      <c r="D129">
        <v>1</v>
      </c>
      <c r="E129" s="9">
        <v>0.24652777777777779</v>
      </c>
      <c r="F129">
        <v>70</v>
      </c>
      <c r="I129">
        <v>1</v>
      </c>
    </row>
    <row r="130" spans="1:14">
      <c r="A130" s="4">
        <f t="shared" si="10"/>
        <v>2025</v>
      </c>
      <c r="B130" s="4">
        <f t="shared" si="11"/>
        <v>3</v>
      </c>
      <c r="C130" s="1">
        <f t="shared" si="7"/>
        <v>45723</v>
      </c>
      <c r="D130">
        <v>1</v>
      </c>
      <c r="E130" s="9">
        <v>0.22916666666666666</v>
      </c>
      <c r="F130">
        <v>60</v>
      </c>
      <c r="I130" s="8">
        <v>1</v>
      </c>
    </row>
    <row r="131" spans="1:14">
      <c r="A131" s="4">
        <f t="shared" si="10"/>
        <v>2025</v>
      </c>
      <c r="B131" s="4">
        <f t="shared" si="11"/>
        <v>3</v>
      </c>
      <c r="C131" s="1">
        <f t="shared" si="7"/>
        <v>45724</v>
      </c>
      <c r="D131">
        <v>1</v>
      </c>
      <c r="E131" s="9">
        <v>0.28125</v>
      </c>
      <c r="F131">
        <v>60</v>
      </c>
      <c r="I131" s="8">
        <v>1</v>
      </c>
    </row>
    <row r="132" spans="1:14">
      <c r="A132" s="4">
        <f t="shared" si="10"/>
        <v>2025</v>
      </c>
      <c r="B132" s="4">
        <f t="shared" si="11"/>
        <v>3</v>
      </c>
      <c r="C132" s="1">
        <f t="shared" si="7"/>
        <v>45725</v>
      </c>
      <c r="D132">
        <v>1</v>
      </c>
      <c r="E132" s="9">
        <v>0.3125</v>
      </c>
      <c r="F132">
        <v>20</v>
      </c>
      <c r="I132" s="8">
        <v>1</v>
      </c>
    </row>
    <row r="133" spans="1:14">
      <c r="A133" s="4">
        <f t="shared" si="10"/>
        <v>2025</v>
      </c>
      <c r="B133" s="4">
        <f t="shared" si="11"/>
        <v>3</v>
      </c>
      <c r="C133" s="1">
        <f t="shared" si="7"/>
        <v>45726</v>
      </c>
      <c r="D133">
        <v>1</v>
      </c>
      <c r="E133" s="9">
        <v>0.28125</v>
      </c>
      <c r="F133">
        <v>60</v>
      </c>
      <c r="I133">
        <v>0</v>
      </c>
    </row>
    <row r="134" spans="1:14">
      <c r="A134" s="4">
        <f t="shared" si="10"/>
        <v>2025</v>
      </c>
      <c r="B134" s="4">
        <f t="shared" si="11"/>
        <v>3</v>
      </c>
      <c r="C134" s="1">
        <f t="shared" si="7"/>
        <v>45727</v>
      </c>
      <c r="D134">
        <v>1</v>
      </c>
      <c r="E134" s="9">
        <v>0.25</v>
      </c>
      <c r="F134">
        <v>70</v>
      </c>
      <c r="I134">
        <v>1</v>
      </c>
    </row>
    <row r="135" spans="1:14">
      <c r="A135" s="4">
        <f t="shared" si="10"/>
        <v>2025</v>
      </c>
      <c r="B135" s="4">
        <f t="shared" si="11"/>
        <v>3</v>
      </c>
      <c r="C135" s="1">
        <f t="shared" si="7"/>
        <v>45728</v>
      </c>
      <c r="D135">
        <v>0</v>
      </c>
      <c r="E135" s="9">
        <v>0.22222222222222221</v>
      </c>
      <c r="F135">
        <v>75</v>
      </c>
      <c r="I135">
        <v>0</v>
      </c>
    </row>
    <row r="136" spans="1:14">
      <c r="A136" s="4">
        <f t="shared" si="10"/>
        <v>2025</v>
      </c>
      <c r="B136" s="4">
        <f t="shared" si="11"/>
        <v>3</v>
      </c>
      <c r="C136" s="1">
        <f t="shared" si="7"/>
        <v>45729</v>
      </c>
      <c r="D136">
        <v>0</v>
      </c>
      <c r="E136" s="9">
        <v>0.23958333333333334</v>
      </c>
      <c r="F136">
        <v>85</v>
      </c>
      <c r="I136">
        <v>1</v>
      </c>
      <c r="N136" t="s">
        <v>35</v>
      </c>
    </row>
    <row r="137" spans="1:14">
      <c r="A137" s="4">
        <f t="shared" si="10"/>
        <v>2025</v>
      </c>
      <c r="B137" s="4">
        <f t="shared" si="11"/>
        <v>3</v>
      </c>
      <c r="C137" s="1">
        <f t="shared" ref="C137:C200" si="12">C136+1</f>
        <v>45730</v>
      </c>
      <c r="D137">
        <v>1</v>
      </c>
      <c r="E137" s="9">
        <v>0.21944444444444444</v>
      </c>
      <c r="F137">
        <v>65</v>
      </c>
      <c r="I137">
        <v>1</v>
      </c>
    </row>
    <row r="138" spans="1:14">
      <c r="A138" s="4">
        <f t="shared" si="10"/>
        <v>2025</v>
      </c>
      <c r="B138" s="4">
        <f t="shared" si="11"/>
        <v>3</v>
      </c>
      <c r="C138" s="1">
        <f t="shared" si="12"/>
        <v>45731</v>
      </c>
      <c r="D138">
        <v>0</v>
      </c>
      <c r="E138" s="9">
        <v>0.3125</v>
      </c>
      <c r="F138">
        <v>0</v>
      </c>
      <c r="I138">
        <v>1</v>
      </c>
      <c r="N138" t="s">
        <v>36</v>
      </c>
    </row>
    <row r="139" spans="1:14">
      <c r="A139" s="4">
        <f t="shared" si="10"/>
        <v>2025</v>
      </c>
      <c r="B139" s="4">
        <f t="shared" si="11"/>
        <v>3</v>
      </c>
      <c r="C139" s="1">
        <f t="shared" si="12"/>
        <v>45732</v>
      </c>
      <c r="D139">
        <v>1</v>
      </c>
      <c r="E139" s="9">
        <v>0.30208333333333331</v>
      </c>
      <c r="F139">
        <v>20</v>
      </c>
      <c r="I139">
        <v>1</v>
      </c>
    </row>
    <row r="140" spans="1:14">
      <c r="A140" s="4">
        <f t="shared" si="10"/>
        <v>2025</v>
      </c>
      <c r="B140" s="4">
        <f t="shared" si="11"/>
        <v>3</v>
      </c>
      <c r="C140" s="1">
        <f t="shared" si="12"/>
        <v>45733</v>
      </c>
      <c r="D140">
        <v>1</v>
      </c>
      <c r="E140" s="9">
        <v>0.28125</v>
      </c>
      <c r="F140">
        <v>60</v>
      </c>
      <c r="I140">
        <v>0</v>
      </c>
    </row>
    <row r="141" spans="1:14">
      <c r="A141" s="4">
        <f t="shared" ref="A141:A161" si="13">YEAR(C141)</f>
        <v>2025</v>
      </c>
      <c r="B141" s="4">
        <f t="shared" ref="B141:B161" si="14">MONTH(C141)</f>
        <v>3</v>
      </c>
      <c r="C141" s="1">
        <f t="shared" si="12"/>
        <v>45734</v>
      </c>
      <c r="D141">
        <v>1</v>
      </c>
      <c r="E141" s="9">
        <v>0.24722222222222223</v>
      </c>
      <c r="F141">
        <v>60</v>
      </c>
      <c r="I141">
        <v>1</v>
      </c>
    </row>
    <row r="142" spans="1:14">
      <c r="A142" s="4">
        <f t="shared" si="13"/>
        <v>2025</v>
      </c>
      <c r="B142" s="4">
        <f t="shared" si="14"/>
        <v>3</v>
      </c>
      <c r="C142" s="1">
        <f t="shared" si="12"/>
        <v>45735</v>
      </c>
      <c r="D142">
        <v>1</v>
      </c>
      <c r="E142" s="9">
        <v>0.22916666666666666</v>
      </c>
      <c r="F142">
        <v>60</v>
      </c>
      <c r="I142">
        <v>1</v>
      </c>
    </row>
    <row r="143" spans="1:14">
      <c r="A143" s="4">
        <f t="shared" si="13"/>
        <v>2025</v>
      </c>
      <c r="B143" s="4">
        <f t="shared" si="14"/>
        <v>3</v>
      </c>
      <c r="C143" s="1">
        <f t="shared" si="12"/>
        <v>45736</v>
      </c>
      <c r="D143">
        <v>0</v>
      </c>
      <c r="E143" s="9">
        <v>0.25</v>
      </c>
      <c r="F143">
        <v>60</v>
      </c>
      <c r="I143" s="8">
        <v>1</v>
      </c>
    </row>
    <row r="144" spans="1:14">
      <c r="A144" s="4">
        <f t="shared" si="13"/>
        <v>2025</v>
      </c>
      <c r="B144" s="4">
        <f t="shared" si="14"/>
        <v>3</v>
      </c>
      <c r="C144" s="1">
        <f t="shared" si="12"/>
        <v>45737</v>
      </c>
      <c r="D144">
        <v>1</v>
      </c>
      <c r="E144" s="9">
        <v>0.22569444444444445</v>
      </c>
      <c r="F144">
        <v>85</v>
      </c>
      <c r="I144" s="8">
        <v>1</v>
      </c>
    </row>
    <row r="145" spans="1:9">
      <c r="A145" s="4">
        <f t="shared" si="13"/>
        <v>2025</v>
      </c>
      <c r="B145" s="4">
        <f t="shared" si="14"/>
        <v>3</v>
      </c>
      <c r="C145" s="1">
        <f t="shared" si="12"/>
        <v>45738</v>
      </c>
      <c r="D145">
        <v>1</v>
      </c>
      <c r="E145" s="9">
        <v>0.30208333333333331</v>
      </c>
      <c r="F145">
        <v>0</v>
      </c>
      <c r="I145" s="8">
        <v>1</v>
      </c>
    </row>
    <row r="146" spans="1:9">
      <c r="A146" s="4">
        <f t="shared" si="13"/>
        <v>2025</v>
      </c>
      <c r="B146" s="4">
        <f t="shared" si="14"/>
        <v>3</v>
      </c>
      <c r="C146" s="1">
        <f t="shared" si="12"/>
        <v>45739</v>
      </c>
      <c r="D146">
        <v>0</v>
      </c>
      <c r="E146" s="9">
        <v>0.29166666666666669</v>
      </c>
      <c r="F146">
        <v>0</v>
      </c>
      <c r="I146" s="8">
        <v>1</v>
      </c>
    </row>
    <row r="147" spans="1:9">
      <c r="A147" s="4">
        <f t="shared" si="13"/>
        <v>2025</v>
      </c>
      <c r="B147" s="4">
        <f t="shared" si="14"/>
        <v>3</v>
      </c>
      <c r="C147" s="1">
        <f t="shared" si="12"/>
        <v>45740</v>
      </c>
      <c r="D147">
        <v>1</v>
      </c>
      <c r="E147" s="9">
        <v>0.28125</v>
      </c>
      <c r="F147">
        <v>55</v>
      </c>
      <c r="H147" s="8">
        <v>26</v>
      </c>
      <c r="I147" s="8">
        <v>1</v>
      </c>
    </row>
    <row r="148" spans="1:9">
      <c r="A148" s="4">
        <f t="shared" si="13"/>
        <v>2025</v>
      </c>
      <c r="B148" s="4">
        <f t="shared" si="14"/>
        <v>3</v>
      </c>
      <c r="C148" s="1">
        <f t="shared" si="12"/>
        <v>45741</v>
      </c>
      <c r="D148">
        <v>1</v>
      </c>
      <c r="E148" s="9">
        <v>0.21597222222222223</v>
      </c>
      <c r="F148">
        <v>80</v>
      </c>
      <c r="H148" s="8">
        <v>25</v>
      </c>
      <c r="I148">
        <v>1</v>
      </c>
    </row>
    <row r="149" spans="1:9">
      <c r="A149" s="4">
        <f t="shared" si="13"/>
        <v>2025</v>
      </c>
      <c r="B149" s="4">
        <f t="shared" si="14"/>
        <v>3</v>
      </c>
      <c r="C149" s="1">
        <f t="shared" si="12"/>
        <v>45742</v>
      </c>
      <c r="D149">
        <v>1</v>
      </c>
      <c r="E149" s="9">
        <v>0.21388888888888891</v>
      </c>
      <c r="F149">
        <v>85</v>
      </c>
      <c r="H149" s="8">
        <v>20</v>
      </c>
      <c r="I149">
        <v>1</v>
      </c>
    </row>
    <row r="150" spans="1:9">
      <c r="A150" s="4">
        <f t="shared" si="13"/>
        <v>2025</v>
      </c>
      <c r="B150" s="4">
        <f t="shared" si="14"/>
        <v>3</v>
      </c>
      <c r="C150" s="1">
        <f t="shared" si="12"/>
        <v>45743</v>
      </c>
      <c r="D150">
        <v>0</v>
      </c>
      <c r="E150" s="9">
        <v>0.24444444444444446</v>
      </c>
      <c r="F150">
        <v>80</v>
      </c>
      <c r="H150" s="8">
        <v>20</v>
      </c>
      <c r="I150">
        <v>1</v>
      </c>
    </row>
    <row r="151" spans="1:9">
      <c r="A151" s="4">
        <f t="shared" si="13"/>
        <v>2025</v>
      </c>
      <c r="B151" s="4">
        <f t="shared" si="14"/>
        <v>3</v>
      </c>
      <c r="C151" s="1">
        <f t="shared" si="12"/>
        <v>45744</v>
      </c>
      <c r="D151">
        <v>0</v>
      </c>
      <c r="E151" s="9">
        <v>0.25069444444444444</v>
      </c>
      <c r="F151">
        <v>60</v>
      </c>
      <c r="H151" s="8">
        <v>20</v>
      </c>
      <c r="I151">
        <v>0</v>
      </c>
    </row>
    <row r="152" spans="1:9">
      <c r="A152" s="4">
        <f t="shared" si="13"/>
        <v>2025</v>
      </c>
      <c r="B152" s="4">
        <f t="shared" si="14"/>
        <v>3</v>
      </c>
      <c r="C152" s="1">
        <f t="shared" si="12"/>
        <v>45745</v>
      </c>
      <c r="D152">
        <v>1</v>
      </c>
      <c r="E152" s="9">
        <v>0.30208333333333331</v>
      </c>
      <c r="F152">
        <v>0</v>
      </c>
      <c r="I152">
        <v>1</v>
      </c>
    </row>
    <row r="153" spans="1:9">
      <c r="A153" s="4">
        <f t="shared" si="13"/>
        <v>2025</v>
      </c>
      <c r="B153" s="4">
        <f t="shared" si="14"/>
        <v>3</v>
      </c>
      <c r="C153" s="1">
        <f t="shared" si="12"/>
        <v>45746</v>
      </c>
      <c r="D153">
        <v>1</v>
      </c>
      <c r="E153" s="9">
        <v>0.30208333333333331</v>
      </c>
      <c r="F153">
        <v>0</v>
      </c>
      <c r="I153">
        <v>0</v>
      </c>
    </row>
    <row r="154" spans="1:9">
      <c r="A154" s="4">
        <f t="shared" si="13"/>
        <v>2025</v>
      </c>
      <c r="B154" s="4">
        <f t="shared" si="14"/>
        <v>3</v>
      </c>
      <c r="C154" s="1">
        <f t="shared" si="12"/>
        <v>45747</v>
      </c>
      <c r="D154">
        <v>1</v>
      </c>
      <c r="E154" s="9">
        <v>0.28125</v>
      </c>
      <c r="F154">
        <v>0</v>
      </c>
      <c r="I154">
        <v>0</v>
      </c>
    </row>
    <row r="155" spans="1:9">
      <c r="A155" s="4">
        <f t="shared" si="13"/>
        <v>2025</v>
      </c>
      <c r="B155" s="4">
        <f t="shared" si="14"/>
        <v>4</v>
      </c>
      <c r="C155" s="1">
        <f t="shared" si="12"/>
        <v>45748</v>
      </c>
      <c r="D155">
        <v>1</v>
      </c>
      <c r="E155" s="9">
        <v>0.25277777777777777</v>
      </c>
      <c r="F155">
        <v>70</v>
      </c>
      <c r="H155" s="8">
        <v>20</v>
      </c>
      <c r="I155">
        <v>1</v>
      </c>
    </row>
    <row r="156" spans="1:9">
      <c r="A156" s="4">
        <f t="shared" si="13"/>
        <v>2025</v>
      </c>
      <c r="B156" s="4">
        <f t="shared" si="14"/>
        <v>4</v>
      </c>
      <c r="C156" s="1">
        <f t="shared" si="12"/>
        <v>45749</v>
      </c>
      <c r="D156">
        <v>1</v>
      </c>
      <c r="E156" s="9">
        <v>0.24652777777777779</v>
      </c>
      <c r="F156">
        <v>95</v>
      </c>
      <c r="H156" s="8">
        <v>24</v>
      </c>
      <c r="I156">
        <v>1</v>
      </c>
    </row>
    <row r="157" spans="1:9">
      <c r="A157" s="4">
        <f t="shared" si="13"/>
        <v>2025</v>
      </c>
      <c r="B157" s="4">
        <f t="shared" si="14"/>
        <v>4</v>
      </c>
      <c r="C157" s="1">
        <f t="shared" si="12"/>
        <v>45750</v>
      </c>
      <c r="D157">
        <v>1</v>
      </c>
      <c r="E157" s="9">
        <v>0.25347222222222221</v>
      </c>
      <c r="F157">
        <v>65</v>
      </c>
      <c r="H157" s="8">
        <v>20</v>
      </c>
      <c r="I157">
        <v>0</v>
      </c>
    </row>
    <row r="158" spans="1:9">
      <c r="A158" s="4">
        <f t="shared" si="13"/>
        <v>2025</v>
      </c>
      <c r="B158" s="4">
        <f t="shared" si="14"/>
        <v>4</v>
      </c>
      <c r="C158" s="1">
        <f t="shared" si="12"/>
        <v>45751</v>
      </c>
      <c r="D158" s="8">
        <v>1</v>
      </c>
      <c r="E158" s="9">
        <v>0.24305555555555555</v>
      </c>
      <c r="F158">
        <v>0</v>
      </c>
      <c r="I158">
        <v>0</v>
      </c>
    </row>
    <row r="159" spans="1:9">
      <c r="A159" s="4">
        <f t="shared" si="13"/>
        <v>2025</v>
      </c>
      <c r="B159" s="4">
        <f t="shared" si="14"/>
        <v>4</v>
      </c>
      <c r="C159" s="1">
        <f t="shared" si="12"/>
        <v>45752</v>
      </c>
      <c r="D159" s="8">
        <v>1</v>
      </c>
      <c r="E159" s="9">
        <v>0.30208333333333331</v>
      </c>
      <c r="F159" s="8">
        <v>0</v>
      </c>
      <c r="I159">
        <v>1</v>
      </c>
    </row>
    <row r="160" spans="1:9">
      <c r="A160" s="4">
        <f t="shared" si="13"/>
        <v>2025</v>
      </c>
      <c r="B160" s="4">
        <f t="shared" si="14"/>
        <v>4</v>
      </c>
      <c r="C160" s="1">
        <f t="shared" si="12"/>
        <v>45753</v>
      </c>
      <c r="D160" s="8">
        <v>1</v>
      </c>
      <c r="E160" s="9">
        <v>0.30208333333333331</v>
      </c>
      <c r="F160" s="8">
        <v>0</v>
      </c>
      <c r="I160">
        <v>1</v>
      </c>
    </row>
    <row r="161" spans="1:14">
      <c r="A161" s="4">
        <f t="shared" si="13"/>
        <v>2025</v>
      </c>
      <c r="B161" s="4">
        <f t="shared" si="14"/>
        <v>4</v>
      </c>
      <c r="C161" s="1">
        <f t="shared" si="12"/>
        <v>45754</v>
      </c>
      <c r="D161">
        <v>0</v>
      </c>
      <c r="E161" s="9">
        <v>0.28125</v>
      </c>
      <c r="F161" s="8">
        <v>0</v>
      </c>
      <c r="I161">
        <v>1</v>
      </c>
    </row>
    <row r="162" spans="1:14">
      <c r="A162" s="4">
        <f t="shared" ref="A162:A193" si="15">YEAR(C162)</f>
        <v>2025</v>
      </c>
      <c r="B162" s="4">
        <f t="shared" ref="B162:B193" si="16">MONTH(C162)</f>
        <v>4</v>
      </c>
      <c r="C162" s="1">
        <f t="shared" si="12"/>
        <v>45755</v>
      </c>
      <c r="D162">
        <v>1</v>
      </c>
      <c r="E162" s="9">
        <v>0.25277777777777777</v>
      </c>
      <c r="F162">
        <v>65</v>
      </c>
      <c r="H162" s="8">
        <v>20</v>
      </c>
      <c r="I162">
        <v>0</v>
      </c>
    </row>
    <row r="163" spans="1:14">
      <c r="A163" s="4">
        <f t="shared" si="15"/>
        <v>2025</v>
      </c>
      <c r="B163" s="4">
        <f t="shared" si="16"/>
        <v>4</v>
      </c>
      <c r="C163" s="1">
        <f t="shared" si="12"/>
        <v>45756</v>
      </c>
      <c r="D163">
        <v>1</v>
      </c>
      <c r="E163" s="9">
        <v>0.28125</v>
      </c>
      <c r="F163">
        <v>45</v>
      </c>
      <c r="H163" s="8">
        <v>20</v>
      </c>
      <c r="I163">
        <v>1</v>
      </c>
    </row>
    <row r="164" spans="1:14">
      <c r="A164" s="4">
        <f t="shared" si="15"/>
        <v>2025</v>
      </c>
      <c r="B164" s="4">
        <f t="shared" si="16"/>
        <v>4</v>
      </c>
      <c r="C164" s="1">
        <f t="shared" si="12"/>
        <v>45757</v>
      </c>
      <c r="D164">
        <v>0</v>
      </c>
      <c r="E164" s="9">
        <v>0.22430555555555556</v>
      </c>
      <c r="F164">
        <v>65</v>
      </c>
      <c r="H164" s="8">
        <v>22</v>
      </c>
      <c r="I164">
        <v>1</v>
      </c>
    </row>
    <row r="165" spans="1:14">
      <c r="A165" s="4">
        <f t="shared" si="15"/>
        <v>2025</v>
      </c>
      <c r="B165" s="4">
        <f t="shared" si="16"/>
        <v>4</v>
      </c>
      <c r="C165" s="1">
        <f t="shared" si="12"/>
        <v>45758</v>
      </c>
      <c r="D165">
        <v>1</v>
      </c>
      <c r="E165" s="9">
        <v>0.22222222222222221</v>
      </c>
      <c r="F165">
        <v>60</v>
      </c>
      <c r="H165" s="8">
        <v>14</v>
      </c>
      <c r="I165">
        <v>1</v>
      </c>
    </row>
    <row r="166" spans="1:14">
      <c r="A166" s="4">
        <f t="shared" si="15"/>
        <v>2025</v>
      </c>
      <c r="B166" s="4">
        <f t="shared" si="16"/>
        <v>4</v>
      </c>
      <c r="C166" s="1">
        <f t="shared" si="12"/>
        <v>45759</v>
      </c>
      <c r="D166">
        <v>1</v>
      </c>
      <c r="E166" s="9">
        <v>0.29166666666666669</v>
      </c>
      <c r="F166">
        <v>0</v>
      </c>
      <c r="I166">
        <v>0</v>
      </c>
    </row>
    <row r="167" spans="1:14">
      <c r="A167" s="4">
        <f t="shared" si="15"/>
        <v>2025</v>
      </c>
      <c r="B167" s="4">
        <f t="shared" si="16"/>
        <v>4</v>
      </c>
      <c r="C167" s="1">
        <f t="shared" si="12"/>
        <v>45760</v>
      </c>
      <c r="D167">
        <v>0</v>
      </c>
      <c r="E167" s="9">
        <v>0.30208333333333331</v>
      </c>
      <c r="F167">
        <v>0</v>
      </c>
      <c r="I167">
        <v>0</v>
      </c>
    </row>
    <row r="168" spans="1:14">
      <c r="A168" s="4">
        <f t="shared" si="15"/>
        <v>2025</v>
      </c>
      <c r="B168" s="4">
        <f t="shared" si="16"/>
        <v>4</v>
      </c>
      <c r="C168" s="1">
        <f t="shared" si="12"/>
        <v>45761</v>
      </c>
      <c r="D168">
        <v>1</v>
      </c>
      <c r="E168" s="9">
        <v>0.28125</v>
      </c>
      <c r="F168">
        <v>60</v>
      </c>
      <c r="H168" s="8">
        <v>12</v>
      </c>
      <c r="I168">
        <v>1</v>
      </c>
    </row>
    <row r="169" spans="1:14">
      <c r="A169" s="4">
        <f t="shared" si="15"/>
        <v>2025</v>
      </c>
      <c r="B169" s="4">
        <f t="shared" si="16"/>
        <v>4</v>
      </c>
      <c r="C169" s="1">
        <f t="shared" si="12"/>
        <v>45762</v>
      </c>
      <c r="D169">
        <v>1</v>
      </c>
      <c r="E169" s="9">
        <v>0.24652777777777779</v>
      </c>
      <c r="F169">
        <v>90</v>
      </c>
      <c r="H169" s="8">
        <v>21</v>
      </c>
      <c r="I169">
        <v>1</v>
      </c>
    </row>
    <row r="170" spans="1:14">
      <c r="A170" s="4">
        <f t="shared" si="15"/>
        <v>2025</v>
      </c>
      <c r="B170" s="4">
        <f t="shared" si="16"/>
        <v>4</v>
      </c>
      <c r="C170" s="1">
        <f t="shared" si="12"/>
        <v>45763</v>
      </c>
      <c r="D170" s="8">
        <v>0</v>
      </c>
      <c r="E170" s="9">
        <v>0.28125</v>
      </c>
      <c r="F170">
        <v>70</v>
      </c>
      <c r="H170" s="8">
        <v>20</v>
      </c>
      <c r="I170">
        <v>1</v>
      </c>
    </row>
    <row r="171" spans="1:14">
      <c r="A171" s="4">
        <f t="shared" si="15"/>
        <v>2025</v>
      </c>
      <c r="B171" s="4">
        <f t="shared" si="16"/>
        <v>4</v>
      </c>
      <c r="C171" s="1">
        <f t="shared" si="12"/>
        <v>45764</v>
      </c>
      <c r="D171">
        <v>1</v>
      </c>
      <c r="E171" s="9">
        <v>0.21805555555555556</v>
      </c>
      <c r="F171">
        <v>105</v>
      </c>
      <c r="H171" s="8">
        <v>34</v>
      </c>
      <c r="I171">
        <v>1</v>
      </c>
    </row>
    <row r="172" spans="1:14">
      <c r="A172" s="4">
        <f t="shared" si="15"/>
        <v>2025</v>
      </c>
      <c r="B172" s="4">
        <f t="shared" si="16"/>
        <v>4</v>
      </c>
      <c r="C172" s="1">
        <f t="shared" si="12"/>
        <v>45765</v>
      </c>
      <c r="D172">
        <v>0</v>
      </c>
      <c r="E172" s="9">
        <v>0.22916666666666666</v>
      </c>
      <c r="F172">
        <v>80</v>
      </c>
      <c r="H172" s="8">
        <v>20</v>
      </c>
      <c r="I172">
        <v>1</v>
      </c>
      <c r="N172" t="s">
        <v>38</v>
      </c>
    </row>
    <row r="173" spans="1:14">
      <c r="A173" s="4">
        <f t="shared" si="15"/>
        <v>2025</v>
      </c>
      <c r="B173" s="4">
        <f t="shared" si="16"/>
        <v>4</v>
      </c>
      <c r="C173" s="1">
        <f t="shared" si="12"/>
        <v>45766</v>
      </c>
      <c r="D173">
        <v>1</v>
      </c>
      <c r="E173" s="9">
        <v>0.23958333333333334</v>
      </c>
      <c r="F173">
        <v>80</v>
      </c>
      <c r="H173" s="8">
        <v>21</v>
      </c>
      <c r="I173">
        <v>0</v>
      </c>
    </row>
    <row r="174" spans="1:14">
      <c r="A174" s="4">
        <f t="shared" si="15"/>
        <v>2025</v>
      </c>
      <c r="B174" s="4">
        <f t="shared" si="16"/>
        <v>4</v>
      </c>
      <c r="C174" s="1">
        <f t="shared" si="12"/>
        <v>45767</v>
      </c>
      <c r="D174">
        <v>1</v>
      </c>
      <c r="E174" s="9">
        <v>0.21388888888888891</v>
      </c>
      <c r="F174">
        <v>90</v>
      </c>
      <c r="H174" s="8">
        <v>27</v>
      </c>
      <c r="I174">
        <v>0</v>
      </c>
    </row>
    <row r="175" spans="1:14">
      <c r="A175" s="4">
        <f t="shared" si="15"/>
        <v>2025</v>
      </c>
      <c r="B175" s="4">
        <f t="shared" si="16"/>
        <v>4</v>
      </c>
      <c r="C175" s="1">
        <f t="shared" si="12"/>
        <v>45768</v>
      </c>
      <c r="D175">
        <v>1</v>
      </c>
      <c r="E175" s="9">
        <v>0.23263888888888887</v>
      </c>
      <c r="F175">
        <v>90</v>
      </c>
      <c r="H175" s="8">
        <v>24</v>
      </c>
      <c r="I175">
        <v>1</v>
      </c>
    </row>
    <row r="176" spans="1:14">
      <c r="A176" s="4">
        <f t="shared" si="15"/>
        <v>2025</v>
      </c>
      <c r="B176" s="4">
        <f t="shared" si="16"/>
        <v>4</v>
      </c>
      <c r="C176" s="1">
        <f t="shared" si="12"/>
        <v>45769</v>
      </c>
      <c r="D176">
        <v>0</v>
      </c>
      <c r="E176" s="9">
        <v>0.24861111111111112</v>
      </c>
      <c r="F176">
        <v>130</v>
      </c>
      <c r="H176" s="8">
        <v>20</v>
      </c>
      <c r="I176">
        <v>1</v>
      </c>
    </row>
    <row r="177" spans="1:14">
      <c r="A177" s="4">
        <f t="shared" si="15"/>
        <v>2025</v>
      </c>
      <c r="B177" s="4">
        <f t="shared" si="16"/>
        <v>4</v>
      </c>
      <c r="C177" s="1">
        <f t="shared" si="12"/>
        <v>45770</v>
      </c>
      <c r="D177" s="8">
        <v>0</v>
      </c>
      <c r="E177" s="9">
        <v>0.24305555555555555</v>
      </c>
      <c r="F177">
        <v>80</v>
      </c>
      <c r="H177" s="8">
        <v>20</v>
      </c>
      <c r="I177" s="8">
        <v>0</v>
      </c>
    </row>
    <row r="178" spans="1:14">
      <c r="A178" s="4">
        <f t="shared" si="15"/>
        <v>2025</v>
      </c>
      <c r="B178" s="4">
        <f t="shared" si="16"/>
        <v>4</v>
      </c>
      <c r="C178" s="1">
        <f t="shared" si="12"/>
        <v>45771</v>
      </c>
      <c r="D178" s="8">
        <v>0</v>
      </c>
      <c r="E178" s="9">
        <v>0.25347222222222221</v>
      </c>
      <c r="F178">
        <v>30</v>
      </c>
      <c r="H178" s="8">
        <v>0</v>
      </c>
      <c r="I178" s="8">
        <v>1</v>
      </c>
    </row>
    <row r="179" spans="1:14">
      <c r="A179" s="4">
        <f t="shared" si="15"/>
        <v>2025</v>
      </c>
      <c r="B179" s="4">
        <f t="shared" si="16"/>
        <v>4</v>
      </c>
      <c r="C179" s="1">
        <f t="shared" si="12"/>
        <v>45772</v>
      </c>
      <c r="D179" s="8">
        <v>0</v>
      </c>
      <c r="E179" s="9">
        <v>0.25</v>
      </c>
      <c r="F179">
        <v>60</v>
      </c>
      <c r="H179" s="8">
        <v>0</v>
      </c>
      <c r="I179" s="8">
        <v>1</v>
      </c>
    </row>
    <row r="180" spans="1:14">
      <c r="A180" s="4">
        <f t="shared" si="15"/>
        <v>2025</v>
      </c>
      <c r="B180" s="4">
        <f t="shared" si="16"/>
        <v>4</v>
      </c>
      <c r="C180" s="1">
        <f t="shared" si="12"/>
        <v>45773</v>
      </c>
      <c r="D180" s="8">
        <v>0</v>
      </c>
      <c r="E180" s="9">
        <v>0.22916666666666666</v>
      </c>
      <c r="F180">
        <v>60</v>
      </c>
      <c r="H180" s="8">
        <v>0</v>
      </c>
      <c r="I180" s="8">
        <v>0</v>
      </c>
    </row>
    <row r="181" spans="1:14">
      <c r="A181" s="4">
        <f t="shared" si="15"/>
        <v>2025</v>
      </c>
      <c r="B181" s="4">
        <f t="shared" si="16"/>
        <v>4</v>
      </c>
      <c r="C181" s="1">
        <f t="shared" si="12"/>
        <v>45774</v>
      </c>
      <c r="D181" s="8">
        <v>0</v>
      </c>
      <c r="E181" s="9">
        <v>0.28125</v>
      </c>
      <c r="F181" s="8">
        <v>120</v>
      </c>
      <c r="H181" s="8">
        <v>0</v>
      </c>
      <c r="I181" s="8">
        <v>0</v>
      </c>
    </row>
    <row r="182" spans="1:14">
      <c r="A182" s="4">
        <f t="shared" si="15"/>
        <v>2025</v>
      </c>
      <c r="B182" s="4">
        <f t="shared" si="16"/>
        <v>4</v>
      </c>
      <c r="C182" s="1">
        <f t="shared" si="12"/>
        <v>45775</v>
      </c>
      <c r="D182" s="8">
        <v>1</v>
      </c>
      <c r="E182" s="9">
        <v>0.21875</v>
      </c>
      <c r="F182" s="8">
        <v>540</v>
      </c>
      <c r="H182" s="8">
        <v>0</v>
      </c>
      <c r="I182" s="8">
        <v>0</v>
      </c>
    </row>
    <row r="183" spans="1:14">
      <c r="A183" s="4">
        <f t="shared" si="15"/>
        <v>2025</v>
      </c>
      <c r="B183" s="4">
        <f t="shared" si="16"/>
        <v>4</v>
      </c>
      <c r="C183" s="1">
        <f t="shared" si="12"/>
        <v>45776</v>
      </c>
      <c r="D183" s="8">
        <v>1</v>
      </c>
      <c r="E183" s="9">
        <v>0.21527777777777779</v>
      </c>
      <c r="F183">
        <v>90</v>
      </c>
      <c r="H183" s="8">
        <v>0</v>
      </c>
      <c r="I183" s="8">
        <v>1</v>
      </c>
    </row>
    <row r="184" spans="1:14">
      <c r="A184" s="4">
        <f t="shared" si="15"/>
        <v>2025</v>
      </c>
      <c r="B184" s="4">
        <f t="shared" si="16"/>
        <v>5</v>
      </c>
      <c r="C184" s="1">
        <v>45795</v>
      </c>
      <c r="D184" s="8">
        <v>1</v>
      </c>
      <c r="E184" s="9">
        <v>0.22916666666666666</v>
      </c>
      <c r="F184">
        <v>85</v>
      </c>
      <c r="H184" s="8">
        <v>0</v>
      </c>
      <c r="I184" s="8">
        <v>1</v>
      </c>
    </row>
    <row r="185" spans="1:14">
      <c r="A185" s="4">
        <f t="shared" si="15"/>
        <v>2025</v>
      </c>
      <c r="B185" s="4">
        <f t="shared" si="16"/>
        <v>5</v>
      </c>
      <c r="C185" s="1">
        <f t="shared" si="12"/>
        <v>45796</v>
      </c>
      <c r="D185">
        <v>0</v>
      </c>
      <c r="E185" s="9">
        <v>0.23263888888888887</v>
      </c>
      <c r="F185">
        <v>55</v>
      </c>
      <c r="H185" s="8">
        <v>0</v>
      </c>
      <c r="I185">
        <v>1</v>
      </c>
      <c r="N185" t="s">
        <v>39</v>
      </c>
    </row>
    <row r="186" spans="1:14">
      <c r="A186" s="4">
        <f t="shared" si="15"/>
        <v>2025</v>
      </c>
      <c r="B186" s="4">
        <f t="shared" si="16"/>
        <v>5</v>
      </c>
      <c r="C186" s="1">
        <f t="shared" si="12"/>
        <v>45797</v>
      </c>
      <c r="D186">
        <v>1</v>
      </c>
      <c r="E186" s="9">
        <v>0.22569444444444445</v>
      </c>
      <c r="F186">
        <v>100</v>
      </c>
      <c r="H186" s="8">
        <v>0</v>
      </c>
      <c r="I186">
        <v>1</v>
      </c>
    </row>
    <row r="187" spans="1:14">
      <c r="A187" s="4">
        <f t="shared" si="15"/>
        <v>2025</v>
      </c>
      <c r="B187" s="4">
        <f t="shared" si="16"/>
        <v>5</v>
      </c>
      <c r="C187" s="1">
        <f t="shared" si="12"/>
        <v>45798</v>
      </c>
      <c r="D187">
        <v>1</v>
      </c>
      <c r="E187" s="9">
        <v>0.23958333333333334</v>
      </c>
      <c r="F187">
        <v>50</v>
      </c>
      <c r="H187" s="8">
        <v>0</v>
      </c>
      <c r="I187">
        <v>1</v>
      </c>
    </row>
    <row r="188" spans="1:14">
      <c r="A188" s="4">
        <f t="shared" si="15"/>
        <v>2025</v>
      </c>
      <c r="B188" s="4">
        <f t="shared" si="16"/>
        <v>5</v>
      </c>
      <c r="C188" s="1">
        <f t="shared" si="12"/>
        <v>45799</v>
      </c>
      <c r="D188">
        <v>1</v>
      </c>
      <c r="E188" s="9">
        <v>0.21180555555555555</v>
      </c>
      <c r="F188">
        <v>110</v>
      </c>
      <c r="H188" s="8">
        <v>0</v>
      </c>
      <c r="I188">
        <v>1</v>
      </c>
    </row>
    <row r="189" spans="1:14">
      <c r="A189" s="4">
        <f t="shared" si="15"/>
        <v>2025</v>
      </c>
      <c r="B189" s="4">
        <f t="shared" si="16"/>
        <v>5</v>
      </c>
      <c r="C189" s="1">
        <f t="shared" si="12"/>
        <v>45800</v>
      </c>
      <c r="D189">
        <v>1</v>
      </c>
      <c r="E189" s="9">
        <v>0.20972222222222223</v>
      </c>
      <c r="F189">
        <v>90</v>
      </c>
      <c r="H189" s="8">
        <v>0</v>
      </c>
      <c r="I189">
        <v>1</v>
      </c>
    </row>
    <row r="190" spans="1:14">
      <c r="A190" s="4">
        <f t="shared" si="15"/>
        <v>2025</v>
      </c>
      <c r="B190" s="4">
        <f t="shared" si="16"/>
        <v>5</v>
      </c>
      <c r="C190" s="1">
        <f t="shared" si="12"/>
        <v>45801</v>
      </c>
      <c r="D190">
        <v>0</v>
      </c>
      <c r="E190" s="9">
        <v>0.24166666666666667</v>
      </c>
      <c r="F190">
        <v>60</v>
      </c>
      <c r="H190" s="8">
        <v>0</v>
      </c>
      <c r="I190">
        <v>0</v>
      </c>
      <c r="N190" t="s">
        <v>40</v>
      </c>
    </row>
    <row r="191" spans="1:14">
      <c r="A191" s="4">
        <f t="shared" si="15"/>
        <v>2025</v>
      </c>
      <c r="B191" s="4">
        <f t="shared" si="16"/>
        <v>5</v>
      </c>
      <c r="C191" s="1">
        <f t="shared" si="12"/>
        <v>45802</v>
      </c>
      <c r="D191">
        <v>0</v>
      </c>
      <c r="E191" s="9">
        <v>0.22777777777777777</v>
      </c>
      <c r="F191">
        <v>120</v>
      </c>
      <c r="H191" s="8">
        <v>0</v>
      </c>
      <c r="I191">
        <v>0</v>
      </c>
      <c r="N191" t="s">
        <v>41</v>
      </c>
    </row>
    <row r="192" spans="1:14">
      <c r="A192" s="4">
        <f t="shared" si="15"/>
        <v>2025</v>
      </c>
      <c r="B192" s="4">
        <f t="shared" si="16"/>
        <v>5</v>
      </c>
      <c r="C192" s="1">
        <f t="shared" si="12"/>
        <v>45803</v>
      </c>
      <c r="D192">
        <v>1</v>
      </c>
      <c r="E192" s="9">
        <v>0.22013888888888888</v>
      </c>
      <c r="F192">
        <v>100</v>
      </c>
      <c r="H192" s="8">
        <v>0</v>
      </c>
      <c r="I192">
        <v>1</v>
      </c>
    </row>
    <row r="193" spans="1:14">
      <c r="A193" s="4">
        <f t="shared" si="15"/>
        <v>2025</v>
      </c>
      <c r="B193" s="4">
        <f t="shared" si="16"/>
        <v>5</v>
      </c>
      <c r="C193" s="1">
        <f t="shared" si="12"/>
        <v>45804</v>
      </c>
      <c r="D193">
        <v>0</v>
      </c>
      <c r="E193" s="9">
        <v>0.24097222222222223</v>
      </c>
      <c r="F193">
        <v>105</v>
      </c>
      <c r="H193" s="8">
        <v>0</v>
      </c>
      <c r="I193">
        <v>1</v>
      </c>
      <c r="N193" t="s">
        <v>42</v>
      </c>
    </row>
    <row r="194" spans="1:14">
      <c r="A194" s="4">
        <f t="shared" ref="A194:A257" si="17">YEAR(C194)</f>
        <v>2025</v>
      </c>
      <c r="B194" s="4">
        <f t="shared" ref="B194:B257" si="18">MONTH(C194)</f>
        <v>5</v>
      </c>
      <c r="C194" s="1">
        <f t="shared" si="12"/>
        <v>45805</v>
      </c>
      <c r="D194">
        <v>1</v>
      </c>
      <c r="E194" s="9">
        <v>0.21736111111111112</v>
      </c>
      <c r="F194">
        <v>113</v>
      </c>
      <c r="H194" s="8">
        <v>0</v>
      </c>
      <c r="I194">
        <v>0</v>
      </c>
    </row>
    <row r="195" spans="1:14">
      <c r="A195" s="4">
        <f t="shared" si="17"/>
        <v>2025</v>
      </c>
      <c r="B195" s="4">
        <f t="shared" si="18"/>
        <v>5</v>
      </c>
      <c r="C195" s="1">
        <f t="shared" si="12"/>
        <v>45806</v>
      </c>
      <c r="D195">
        <v>1</v>
      </c>
      <c r="E195" s="9">
        <v>0.22569444444444445</v>
      </c>
      <c r="F195">
        <v>70</v>
      </c>
      <c r="H195" s="8">
        <v>0</v>
      </c>
      <c r="I195">
        <v>0</v>
      </c>
    </row>
    <row r="196" spans="1:14">
      <c r="A196" s="4">
        <f t="shared" si="17"/>
        <v>2025</v>
      </c>
      <c r="B196" s="4">
        <f t="shared" si="18"/>
        <v>5</v>
      </c>
      <c r="C196" s="1">
        <f t="shared" si="12"/>
        <v>45807</v>
      </c>
      <c r="D196">
        <v>0</v>
      </c>
      <c r="E196" s="9">
        <v>0.2298611111111111</v>
      </c>
      <c r="F196">
        <v>60</v>
      </c>
      <c r="H196" s="8">
        <v>0</v>
      </c>
      <c r="I196">
        <v>1</v>
      </c>
    </row>
    <row r="197" spans="1:14">
      <c r="A197" s="4">
        <f t="shared" si="17"/>
        <v>2025</v>
      </c>
      <c r="B197" s="4">
        <f t="shared" si="18"/>
        <v>5</v>
      </c>
      <c r="C197" s="1">
        <f t="shared" si="12"/>
        <v>45808</v>
      </c>
      <c r="D197">
        <v>1</v>
      </c>
      <c r="E197" s="9">
        <v>0.21875</v>
      </c>
      <c r="F197">
        <v>70</v>
      </c>
      <c r="H197" s="8">
        <v>0</v>
      </c>
      <c r="I197">
        <v>1</v>
      </c>
    </row>
    <row r="198" spans="1:14">
      <c r="A198" s="4">
        <f t="shared" si="17"/>
        <v>2025</v>
      </c>
      <c r="B198" s="4">
        <f t="shared" si="18"/>
        <v>6</v>
      </c>
      <c r="C198" s="1">
        <f t="shared" si="12"/>
        <v>45809</v>
      </c>
      <c r="D198">
        <v>1</v>
      </c>
      <c r="E198" s="9">
        <v>0.23958333333333334</v>
      </c>
      <c r="F198">
        <v>60</v>
      </c>
      <c r="H198" s="8">
        <v>0</v>
      </c>
      <c r="I198">
        <v>0</v>
      </c>
    </row>
    <row r="199" spans="1:14">
      <c r="A199" s="4">
        <f t="shared" si="17"/>
        <v>2025</v>
      </c>
      <c r="B199" s="4">
        <f t="shared" si="18"/>
        <v>6</v>
      </c>
      <c r="C199" s="1">
        <f t="shared" si="12"/>
        <v>45810</v>
      </c>
      <c r="D199">
        <v>1</v>
      </c>
      <c r="E199" s="9">
        <v>0.23472222222222219</v>
      </c>
      <c r="F199">
        <v>55</v>
      </c>
      <c r="H199" s="8">
        <v>0</v>
      </c>
      <c r="I199">
        <v>0</v>
      </c>
    </row>
    <row r="200" spans="1:14">
      <c r="A200" s="4">
        <f t="shared" si="17"/>
        <v>2025</v>
      </c>
      <c r="B200" s="4">
        <f t="shared" si="18"/>
        <v>6</v>
      </c>
      <c r="C200" s="1">
        <f t="shared" si="12"/>
        <v>45811</v>
      </c>
      <c r="D200">
        <v>0</v>
      </c>
      <c r="E200" s="9">
        <v>0.23263888888888887</v>
      </c>
      <c r="F200">
        <v>60</v>
      </c>
      <c r="H200" s="8">
        <v>0</v>
      </c>
      <c r="I200">
        <v>0</v>
      </c>
      <c r="N200" t="s">
        <v>43</v>
      </c>
    </row>
    <row r="201" spans="1:14">
      <c r="A201" s="4">
        <f t="shared" si="17"/>
        <v>2025</v>
      </c>
      <c r="B201" s="4">
        <f t="shared" si="18"/>
        <v>6</v>
      </c>
      <c r="C201" s="1">
        <f t="shared" ref="C201:C264" si="19">C200+1</f>
        <v>45812</v>
      </c>
      <c r="D201">
        <v>1</v>
      </c>
      <c r="E201" s="9">
        <v>0.21875</v>
      </c>
      <c r="F201">
        <v>75</v>
      </c>
      <c r="H201" s="8">
        <v>0</v>
      </c>
      <c r="I201">
        <v>1</v>
      </c>
    </row>
    <row r="202" spans="1:14">
      <c r="A202" s="4">
        <f t="shared" si="17"/>
        <v>2025</v>
      </c>
      <c r="B202" s="4">
        <f t="shared" si="18"/>
        <v>6</v>
      </c>
      <c r="C202" s="1">
        <f t="shared" si="19"/>
        <v>45813</v>
      </c>
      <c r="D202">
        <v>1</v>
      </c>
      <c r="E202" s="9">
        <v>0.22569444444444445</v>
      </c>
      <c r="F202">
        <v>160</v>
      </c>
      <c r="H202" s="8">
        <v>0</v>
      </c>
      <c r="I202">
        <v>0</v>
      </c>
    </row>
    <row r="203" spans="1:14">
      <c r="A203" s="4">
        <f t="shared" si="17"/>
        <v>2025</v>
      </c>
      <c r="B203" s="4">
        <f t="shared" si="18"/>
        <v>6</v>
      </c>
      <c r="C203" s="1">
        <f t="shared" si="19"/>
        <v>45814</v>
      </c>
      <c r="D203">
        <v>1</v>
      </c>
      <c r="E203" s="9">
        <v>0.23263888888888887</v>
      </c>
      <c r="F203">
        <v>70</v>
      </c>
      <c r="H203" s="8">
        <v>0</v>
      </c>
      <c r="I203">
        <v>1</v>
      </c>
    </row>
    <row r="204" spans="1:14">
      <c r="A204" s="4">
        <f t="shared" si="17"/>
        <v>2025</v>
      </c>
      <c r="B204" s="4">
        <f t="shared" si="18"/>
        <v>6</v>
      </c>
      <c r="C204" s="1">
        <f t="shared" si="19"/>
        <v>45815</v>
      </c>
      <c r="D204">
        <v>1</v>
      </c>
      <c r="E204" s="9">
        <v>0.21944444444444444</v>
      </c>
      <c r="F204">
        <v>140</v>
      </c>
      <c r="H204" s="8">
        <v>0</v>
      </c>
      <c r="I204">
        <v>0</v>
      </c>
    </row>
    <row r="205" spans="1:14">
      <c r="A205" s="4">
        <f t="shared" si="17"/>
        <v>2025</v>
      </c>
      <c r="B205" s="4">
        <f t="shared" si="18"/>
        <v>6</v>
      </c>
      <c r="C205" s="1">
        <f t="shared" si="19"/>
        <v>45816</v>
      </c>
      <c r="D205">
        <v>1</v>
      </c>
      <c r="E205" s="9">
        <v>0.23333333333333331</v>
      </c>
      <c r="F205">
        <v>75</v>
      </c>
      <c r="H205" s="8">
        <v>0</v>
      </c>
      <c r="I205">
        <v>0</v>
      </c>
    </row>
    <row r="206" spans="1:14">
      <c r="A206" s="4">
        <f t="shared" si="17"/>
        <v>2025</v>
      </c>
      <c r="B206" s="4">
        <f t="shared" si="18"/>
        <v>6</v>
      </c>
      <c r="C206" s="1">
        <f t="shared" si="19"/>
        <v>45817</v>
      </c>
      <c r="D206">
        <v>1</v>
      </c>
      <c r="E206" s="9">
        <v>0.22916666666666666</v>
      </c>
      <c r="F206">
        <v>65</v>
      </c>
      <c r="H206" s="8">
        <v>0</v>
      </c>
      <c r="I206">
        <v>1</v>
      </c>
    </row>
    <row r="207" spans="1:14">
      <c r="A207" s="4">
        <f t="shared" si="17"/>
        <v>2025</v>
      </c>
      <c r="B207" s="4">
        <f t="shared" si="18"/>
        <v>6</v>
      </c>
      <c r="C207" s="1">
        <f t="shared" si="19"/>
        <v>45818</v>
      </c>
      <c r="D207">
        <v>1</v>
      </c>
      <c r="E207" s="9">
        <v>0.23124999999999998</v>
      </c>
      <c r="F207">
        <v>95</v>
      </c>
      <c r="H207" s="8">
        <v>0</v>
      </c>
      <c r="I207">
        <v>1</v>
      </c>
    </row>
    <row r="208" spans="1:14">
      <c r="A208" s="4">
        <f t="shared" si="17"/>
        <v>2025</v>
      </c>
      <c r="B208" s="4">
        <f t="shared" si="18"/>
        <v>6</v>
      </c>
      <c r="C208" s="1">
        <f t="shared" si="19"/>
        <v>45819</v>
      </c>
      <c r="D208">
        <v>1</v>
      </c>
      <c r="E208" s="9">
        <v>0.22708333333333333</v>
      </c>
      <c r="F208">
        <v>65</v>
      </c>
      <c r="H208" s="8">
        <v>0</v>
      </c>
      <c r="I208">
        <v>1</v>
      </c>
    </row>
    <row r="209" spans="1:14">
      <c r="A209" s="4">
        <f t="shared" si="17"/>
        <v>2025</v>
      </c>
      <c r="B209" s="4">
        <f t="shared" si="18"/>
        <v>6</v>
      </c>
      <c r="C209" s="1">
        <f t="shared" si="19"/>
        <v>45820</v>
      </c>
      <c r="D209">
        <v>1</v>
      </c>
      <c r="E209" s="9">
        <v>0.22777777777777777</v>
      </c>
      <c r="F209">
        <v>100</v>
      </c>
      <c r="H209" s="8">
        <v>0</v>
      </c>
      <c r="I209">
        <v>1</v>
      </c>
    </row>
    <row r="210" spans="1:14">
      <c r="A210" s="4">
        <f t="shared" si="17"/>
        <v>2025</v>
      </c>
      <c r="B210" s="4">
        <f t="shared" si="18"/>
        <v>6</v>
      </c>
      <c r="C210" s="1">
        <f t="shared" si="19"/>
        <v>45821</v>
      </c>
      <c r="D210">
        <v>1</v>
      </c>
      <c r="E210" s="9">
        <v>0.21736111111111112</v>
      </c>
      <c r="F210">
        <v>80</v>
      </c>
      <c r="H210" s="8">
        <v>0</v>
      </c>
      <c r="I210">
        <v>1</v>
      </c>
    </row>
    <row r="211" spans="1:14">
      <c r="A211" s="4">
        <f t="shared" si="17"/>
        <v>2025</v>
      </c>
      <c r="B211" s="4">
        <f t="shared" si="18"/>
        <v>6</v>
      </c>
      <c r="C211" s="1">
        <f t="shared" si="19"/>
        <v>45822</v>
      </c>
      <c r="D211">
        <v>1</v>
      </c>
      <c r="E211" s="9">
        <v>0.23958333333333334</v>
      </c>
      <c r="F211">
        <v>65</v>
      </c>
      <c r="H211" s="8">
        <v>0</v>
      </c>
      <c r="I211">
        <v>0</v>
      </c>
    </row>
    <row r="212" spans="1:14">
      <c r="A212" s="4">
        <f t="shared" si="17"/>
        <v>2025</v>
      </c>
      <c r="B212" s="4">
        <f t="shared" si="18"/>
        <v>6</v>
      </c>
      <c r="C212" s="1">
        <f t="shared" si="19"/>
        <v>45823</v>
      </c>
      <c r="D212">
        <v>0</v>
      </c>
      <c r="E212" s="9">
        <v>0.23958333333333334</v>
      </c>
      <c r="F212">
        <v>60</v>
      </c>
      <c r="H212" s="8">
        <v>0</v>
      </c>
      <c r="I212">
        <v>0</v>
      </c>
      <c r="N212" t="s">
        <v>44</v>
      </c>
    </row>
    <row r="213" spans="1:14">
      <c r="A213" s="4">
        <f t="shared" si="17"/>
        <v>2025</v>
      </c>
      <c r="B213" s="4">
        <f t="shared" si="18"/>
        <v>6</v>
      </c>
      <c r="C213" s="1">
        <f t="shared" si="19"/>
        <v>45824</v>
      </c>
      <c r="D213">
        <v>1</v>
      </c>
      <c r="E213" s="9">
        <v>0.28472222222222221</v>
      </c>
      <c r="F213">
        <v>30</v>
      </c>
      <c r="H213" s="8">
        <v>0</v>
      </c>
      <c r="I213">
        <v>0</v>
      </c>
    </row>
    <row r="214" spans="1:14">
      <c r="A214" s="4">
        <f t="shared" si="17"/>
        <v>2025</v>
      </c>
      <c r="B214" s="4">
        <f t="shared" si="18"/>
        <v>6</v>
      </c>
      <c r="C214" s="1">
        <f t="shared" si="19"/>
        <v>45825</v>
      </c>
      <c r="D214">
        <v>1</v>
      </c>
      <c r="E214" s="9">
        <v>0.21249999999999999</v>
      </c>
      <c r="F214">
        <v>120</v>
      </c>
      <c r="H214" s="8">
        <v>0</v>
      </c>
      <c r="I214">
        <v>1</v>
      </c>
    </row>
    <row r="215" spans="1:14">
      <c r="A215" s="4">
        <f t="shared" si="17"/>
        <v>2025</v>
      </c>
      <c r="B215" s="4">
        <f t="shared" si="18"/>
        <v>6</v>
      </c>
      <c r="C215" s="1">
        <f t="shared" si="19"/>
        <v>45826</v>
      </c>
      <c r="D215">
        <v>1</v>
      </c>
      <c r="E215" s="9">
        <v>0.22847222222222222</v>
      </c>
      <c r="F215">
        <v>65</v>
      </c>
      <c r="H215" s="8">
        <v>0</v>
      </c>
      <c r="I215">
        <v>1</v>
      </c>
    </row>
    <row r="216" spans="1:14">
      <c r="A216" s="4">
        <f t="shared" si="17"/>
        <v>2025</v>
      </c>
      <c r="B216" s="4">
        <f t="shared" si="18"/>
        <v>6</v>
      </c>
      <c r="C216" s="1">
        <f t="shared" si="19"/>
        <v>45827</v>
      </c>
      <c r="D216">
        <v>1</v>
      </c>
      <c r="E216" s="9">
        <v>0.22638888888888889</v>
      </c>
      <c r="F216">
        <v>70</v>
      </c>
      <c r="H216" s="8">
        <v>0</v>
      </c>
      <c r="I216">
        <v>0</v>
      </c>
    </row>
    <row r="217" spans="1:14">
      <c r="A217" s="4">
        <f t="shared" si="17"/>
        <v>2025</v>
      </c>
      <c r="B217" s="4">
        <f t="shared" si="18"/>
        <v>6</v>
      </c>
      <c r="C217" s="1">
        <f t="shared" si="19"/>
        <v>45828</v>
      </c>
      <c r="D217">
        <v>1</v>
      </c>
      <c r="E217" s="9">
        <v>0.22847222222222222</v>
      </c>
      <c r="F217">
        <v>65</v>
      </c>
      <c r="H217" s="8">
        <v>0</v>
      </c>
      <c r="I217">
        <v>0</v>
      </c>
    </row>
    <row r="218" spans="1:14">
      <c r="A218" s="4">
        <f t="shared" si="17"/>
        <v>2025</v>
      </c>
      <c r="B218" s="4">
        <f t="shared" si="18"/>
        <v>6</v>
      </c>
      <c r="C218" s="1">
        <f t="shared" si="19"/>
        <v>45829</v>
      </c>
      <c r="D218">
        <v>1</v>
      </c>
      <c r="E218" s="9">
        <v>0.22916666666666666</v>
      </c>
      <c r="F218">
        <v>60</v>
      </c>
      <c r="H218" s="8">
        <v>0</v>
      </c>
      <c r="I218">
        <v>1</v>
      </c>
    </row>
    <row r="219" spans="1:14">
      <c r="A219" s="4">
        <f t="shared" si="17"/>
        <v>2025</v>
      </c>
      <c r="B219" s="4">
        <f t="shared" si="18"/>
        <v>6</v>
      </c>
      <c r="C219" s="1">
        <f t="shared" si="19"/>
        <v>45830</v>
      </c>
      <c r="D219">
        <v>1</v>
      </c>
      <c r="E219" s="9">
        <v>0.21319444444444444</v>
      </c>
      <c r="F219">
        <v>80</v>
      </c>
      <c r="H219" s="8">
        <v>0</v>
      </c>
      <c r="I219">
        <v>0</v>
      </c>
    </row>
    <row r="220" spans="1:14">
      <c r="A220" s="4">
        <f t="shared" si="17"/>
        <v>2025</v>
      </c>
      <c r="B220" s="4">
        <f t="shared" si="18"/>
        <v>6</v>
      </c>
      <c r="C220" s="1">
        <f t="shared" si="19"/>
        <v>45831</v>
      </c>
      <c r="D220">
        <v>1</v>
      </c>
      <c r="E220" s="9">
        <v>0.22569444444444445</v>
      </c>
      <c r="F220">
        <v>65</v>
      </c>
      <c r="H220" s="8">
        <v>0</v>
      </c>
      <c r="I220">
        <v>1</v>
      </c>
    </row>
    <row r="221" spans="1:14">
      <c r="A221" s="4">
        <f t="shared" si="17"/>
        <v>2025</v>
      </c>
      <c r="B221" s="4">
        <f t="shared" si="18"/>
        <v>6</v>
      </c>
      <c r="C221" s="1">
        <f t="shared" si="19"/>
        <v>45832</v>
      </c>
      <c r="D221">
        <v>1</v>
      </c>
      <c r="E221" s="9">
        <v>0.22777777777777777</v>
      </c>
      <c r="F221">
        <v>105</v>
      </c>
      <c r="H221" s="8">
        <v>0</v>
      </c>
      <c r="I221">
        <v>1</v>
      </c>
    </row>
    <row r="222" spans="1:14">
      <c r="A222" s="4">
        <f t="shared" si="17"/>
        <v>2025</v>
      </c>
      <c r="B222" s="4">
        <f t="shared" si="18"/>
        <v>6</v>
      </c>
      <c r="C222" s="1">
        <f t="shared" si="19"/>
        <v>45833</v>
      </c>
      <c r="D222">
        <v>0</v>
      </c>
      <c r="E222" s="9">
        <v>0.23958333333333334</v>
      </c>
      <c r="F222">
        <v>80</v>
      </c>
      <c r="H222" s="8">
        <v>0</v>
      </c>
      <c r="I222">
        <v>1</v>
      </c>
      <c r="N222" t="s">
        <v>46</v>
      </c>
    </row>
    <row r="223" spans="1:14">
      <c r="A223" s="4">
        <f t="shared" si="17"/>
        <v>2025</v>
      </c>
      <c r="B223" s="4">
        <f t="shared" si="18"/>
        <v>6</v>
      </c>
      <c r="C223" s="1">
        <f t="shared" si="19"/>
        <v>45834</v>
      </c>
      <c r="D223">
        <v>1</v>
      </c>
      <c r="E223" s="9">
        <v>0.20833333333333334</v>
      </c>
      <c r="F223">
        <v>120</v>
      </c>
      <c r="H223" s="8">
        <v>0</v>
      </c>
      <c r="I223">
        <v>1</v>
      </c>
    </row>
    <row r="224" spans="1:14">
      <c r="A224" s="4">
        <f t="shared" si="17"/>
        <v>2025</v>
      </c>
      <c r="B224" s="4">
        <f t="shared" si="18"/>
        <v>6</v>
      </c>
      <c r="C224" s="1">
        <f t="shared" si="19"/>
        <v>45835</v>
      </c>
      <c r="D224">
        <v>1</v>
      </c>
      <c r="E224" s="9">
        <v>0.24374999999999999</v>
      </c>
      <c r="F224">
        <v>45</v>
      </c>
      <c r="H224" s="8">
        <v>0</v>
      </c>
      <c r="I224">
        <v>1</v>
      </c>
    </row>
    <row r="225" spans="1:14">
      <c r="A225" s="4">
        <f t="shared" si="17"/>
        <v>2025</v>
      </c>
      <c r="B225" s="4">
        <f t="shared" si="18"/>
        <v>6</v>
      </c>
      <c r="C225" s="1">
        <f t="shared" si="19"/>
        <v>45836</v>
      </c>
      <c r="D225">
        <v>1</v>
      </c>
      <c r="E225" s="9">
        <v>0.22777777777777777</v>
      </c>
      <c r="F225">
        <v>80</v>
      </c>
      <c r="H225" s="8">
        <v>0</v>
      </c>
      <c r="I225">
        <v>0</v>
      </c>
    </row>
    <row r="226" spans="1:14">
      <c r="A226" s="4">
        <f t="shared" si="17"/>
        <v>2025</v>
      </c>
      <c r="B226" s="4">
        <f t="shared" si="18"/>
        <v>6</v>
      </c>
      <c r="C226" s="1">
        <f t="shared" si="19"/>
        <v>45837</v>
      </c>
      <c r="D226">
        <v>1</v>
      </c>
      <c r="E226" s="9">
        <v>0.24861111111111112</v>
      </c>
      <c r="F226">
        <v>55</v>
      </c>
      <c r="H226" s="8">
        <v>0</v>
      </c>
      <c r="I226">
        <v>0</v>
      </c>
    </row>
    <row r="227" spans="1:14">
      <c r="A227" s="4">
        <f t="shared" si="17"/>
        <v>2025</v>
      </c>
      <c r="B227" s="4">
        <f t="shared" si="18"/>
        <v>6</v>
      </c>
      <c r="C227" s="1">
        <f t="shared" si="19"/>
        <v>45838</v>
      </c>
      <c r="D227">
        <v>1</v>
      </c>
      <c r="E227" s="9">
        <v>0.22916666666666666</v>
      </c>
      <c r="F227">
        <v>65</v>
      </c>
      <c r="H227" s="8">
        <v>0</v>
      </c>
      <c r="I227">
        <v>1</v>
      </c>
    </row>
    <row r="228" spans="1:14">
      <c r="A228" s="4">
        <f t="shared" si="17"/>
        <v>2025</v>
      </c>
      <c r="B228" s="4">
        <f t="shared" si="18"/>
        <v>7</v>
      </c>
      <c r="C228" s="1">
        <f t="shared" si="19"/>
        <v>45839</v>
      </c>
      <c r="D228">
        <v>1</v>
      </c>
      <c r="E228" s="9">
        <v>0.24305555555555555</v>
      </c>
      <c r="F228">
        <v>70</v>
      </c>
      <c r="H228" s="8">
        <v>0</v>
      </c>
      <c r="I228">
        <v>0</v>
      </c>
    </row>
    <row r="229" spans="1:14">
      <c r="A229" s="4">
        <f t="shared" si="17"/>
        <v>2025</v>
      </c>
      <c r="B229" s="4">
        <f t="shared" si="18"/>
        <v>7</v>
      </c>
      <c r="C229" s="1">
        <f t="shared" si="19"/>
        <v>45840</v>
      </c>
      <c r="D229">
        <v>1</v>
      </c>
      <c r="E229" s="9">
        <v>0.22569444444444445</v>
      </c>
      <c r="F229">
        <v>65</v>
      </c>
      <c r="H229" s="8">
        <v>0</v>
      </c>
      <c r="I229">
        <v>1</v>
      </c>
    </row>
    <row r="230" spans="1:14">
      <c r="A230" s="4">
        <f t="shared" si="17"/>
        <v>2025</v>
      </c>
      <c r="B230" s="4">
        <f t="shared" si="18"/>
        <v>7</v>
      </c>
      <c r="C230" s="1">
        <f t="shared" si="19"/>
        <v>45841</v>
      </c>
      <c r="D230">
        <v>1</v>
      </c>
      <c r="E230" s="9">
        <v>0.22291666666666665</v>
      </c>
      <c r="F230">
        <v>75</v>
      </c>
      <c r="H230" s="8">
        <v>0</v>
      </c>
      <c r="I230">
        <v>0</v>
      </c>
    </row>
    <row r="231" spans="1:14">
      <c r="A231" s="4">
        <f t="shared" si="17"/>
        <v>2025</v>
      </c>
      <c r="B231" s="4">
        <f t="shared" si="18"/>
        <v>7</v>
      </c>
      <c r="C231" s="1">
        <f t="shared" si="19"/>
        <v>45842</v>
      </c>
      <c r="D231">
        <v>1</v>
      </c>
      <c r="E231" s="9">
        <v>0.28125</v>
      </c>
      <c r="F231">
        <v>20</v>
      </c>
      <c r="H231" s="8">
        <v>0</v>
      </c>
      <c r="I231">
        <v>1</v>
      </c>
    </row>
    <row r="232" spans="1:14">
      <c r="A232" s="4">
        <f t="shared" si="17"/>
        <v>2025</v>
      </c>
      <c r="B232" s="4">
        <f t="shared" si="18"/>
        <v>7</v>
      </c>
      <c r="C232" s="1">
        <f t="shared" si="19"/>
        <v>45843</v>
      </c>
      <c r="D232">
        <v>0</v>
      </c>
      <c r="E232" s="9">
        <v>0.23263888888888887</v>
      </c>
      <c r="F232">
        <v>125</v>
      </c>
      <c r="H232" s="8">
        <v>0</v>
      </c>
      <c r="I232">
        <v>1</v>
      </c>
      <c r="N232" t="s">
        <v>47</v>
      </c>
    </row>
    <row r="233" spans="1:14">
      <c r="A233" s="4">
        <f t="shared" si="17"/>
        <v>2025</v>
      </c>
      <c r="B233" s="4">
        <f t="shared" si="18"/>
        <v>7</v>
      </c>
      <c r="C233" s="1">
        <f t="shared" si="19"/>
        <v>45844</v>
      </c>
      <c r="D233">
        <v>0</v>
      </c>
      <c r="E233" s="9">
        <v>0.23611111111111113</v>
      </c>
      <c r="F233">
        <v>130</v>
      </c>
      <c r="H233" s="8">
        <v>19</v>
      </c>
      <c r="I233">
        <v>0</v>
      </c>
      <c r="N233" t="s">
        <v>48</v>
      </c>
    </row>
    <row r="234" spans="1:14">
      <c r="A234" s="4">
        <f t="shared" si="17"/>
        <v>2025</v>
      </c>
      <c r="B234" s="4">
        <f t="shared" si="18"/>
        <v>7</v>
      </c>
      <c r="C234" s="1">
        <f t="shared" si="19"/>
        <v>45845</v>
      </c>
      <c r="D234">
        <v>0</v>
      </c>
      <c r="E234" s="9">
        <v>0.23402777777777781</v>
      </c>
      <c r="F234">
        <v>55</v>
      </c>
      <c r="H234" s="8">
        <v>8</v>
      </c>
      <c r="I234">
        <v>0</v>
      </c>
      <c r="N234" t="s">
        <v>49</v>
      </c>
    </row>
    <row r="235" spans="1:14">
      <c r="A235" s="4">
        <f t="shared" si="17"/>
        <v>2025</v>
      </c>
      <c r="B235" s="4">
        <f t="shared" si="18"/>
        <v>7</v>
      </c>
      <c r="C235" s="1">
        <f t="shared" si="19"/>
        <v>45846</v>
      </c>
      <c r="D235">
        <v>1</v>
      </c>
      <c r="E235" s="9">
        <v>0.21041666666666667</v>
      </c>
      <c r="F235">
        <v>90</v>
      </c>
      <c r="H235" s="8">
        <v>5</v>
      </c>
      <c r="I235">
        <v>1</v>
      </c>
    </row>
    <row r="236" spans="1:14">
      <c r="A236" s="4">
        <f t="shared" si="17"/>
        <v>2025</v>
      </c>
      <c r="B236" s="4">
        <f t="shared" si="18"/>
        <v>7</v>
      </c>
      <c r="C236" s="1">
        <f t="shared" si="19"/>
        <v>45847</v>
      </c>
      <c r="D236">
        <v>0</v>
      </c>
      <c r="E236" s="9">
        <v>0.22916666666666666</v>
      </c>
      <c r="F236">
        <v>60</v>
      </c>
      <c r="H236" s="8">
        <v>5</v>
      </c>
      <c r="I236">
        <v>1</v>
      </c>
      <c r="N236" t="s">
        <v>50</v>
      </c>
    </row>
    <row r="237" spans="1:14">
      <c r="A237" s="4">
        <f t="shared" si="17"/>
        <v>2025</v>
      </c>
      <c r="B237" s="4">
        <f t="shared" si="18"/>
        <v>7</v>
      </c>
      <c r="C237" s="1">
        <f t="shared" si="19"/>
        <v>45848</v>
      </c>
      <c r="D237">
        <v>1</v>
      </c>
      <c r="E237" s="9">
        <v>0.23402777777777781</v>
      </c>
      <c r="F237">
        <v>90</v>
      </c>
      <c r="H237" s="8">
        <v>3</v>
      </c>
      <c r="I237">
        <v>1</v>
      </c>
    </row>
    <row r="238" spans="1:14">
      <c r="A238" s="4">
        <f t="shared" si="17"/>
        <v>2025</v>
      </c>
      <c r="B238" s="4">
        <f t="shared" si="18"/>
        <v>7</v>
      </c>
      <c r="C238" s="1">
        <f t="shared" si="19"/>
        <v>45849</v>
      </c>
      <c r="D238">
        <v>1</v>
      </c>
      <c r="E238" s="9">
        <v>0.23958333333333334</v>
      </c>
      <c r="F238">
        <v>50</v>
      </c>
      <c r="H238" s="8">
        <v>0</v>
      </c>
      <c r="I238">
        <v>1</v>
      </c>
    </row>
    <row r="239" spans="1:14">
      <c r="A239" s="4">
        <f t="shared" si="17"/>
        <v>2025</v>
      </c>
      <c r="B239" s="4">
        <f t="shared" si="18"/>
        <v>7</v>
      </c>
      <c r="C239" s="1">
        <f t="shared" si="19"/>
        <v>45850</v>
      </c>
      <c r="D239">
        <v>1</v>
      </c>
      <c r="E239" s="9">
        <v>0.23055555555555554</v>
      </c>
      <c r="F239">
        <v>70</v>
      </c>
      <c r="H239" s="8">
        <v>10</v>
      </c>
      <c r="I239">
        <v>0</v>
      </c>
    </row>
    <row r="240" spans="1:14">
      <c r="A240" s="4">
        <f t="shared" si="17"/>
        <v>2025</v>
      </c>
      <c r="B240" s="4">
        <f t="shared" si="18"/>
        <v>7</v>
      </c>
      <c r="C240" s="1">
        <f t="shared" si="19"/>
        <v>45851</v>
      </c>
      <c r="D240">
        <v>1</v>
      </c>
      <c r="E240" s="9">
        <v>0.21249999999999999</v>
      </c>
      <c r="F240">
        <v>100</v>
      </c>
      <c r="H240" s="8">
        <v>10</v>
      </c>
      <c r="I240">
        <v>1</v>
      </c>
    </row>
    <row r="241" spans="1:14">
      <c r="A241" s="4">
        <f t="shared" si="17"/>
        <v>2025</v>
      </c>
      <c r="B241" s="4">
        <f t="shared" si="18"/>
        <v>7</v>
      </c>
      <c r="C241" s="1">
        <f t="shared" si="19"/>
        <v>45852</v>
      </c>
      <c r="D241">
        <v>1</v>
      </c>
      <c r="E241" s="9">
        <v>0.23541666666666669</v>
      </c>
      <c r="F241">
        <v>55</v>
      </c>
      <c r="H241" s="8">
        <v>11</v>
      </c>
      <c r="I241">
        <v>1</v>
      </c>
    </row>
    <row r="242" spans="1:14">
      <c r="A242" s="4">
        <f t="shared" si="17"/>
        <v>2025</v>
      </c>
      <c r="B242" s="4">
        <f t="shared" si="18"/>
        <v>7</v>
      </c>
      <c r="C242" s="1">
        <f t="shared" si="19"/>
        <v>45853</v>
      </c>
      <c r="D242">
        <v>1</v>
      </c>
      <c r="E242" s="9">
        <v>0.22777777777777777</v>
      </c>
      <c r="F242">
        <v>65</v>
      </c>
      <c r="H242" s="8">
        <v>2</v>
      </c>
      <c r="I242">
        <v>0</v>
      </c>
    </row>
    <row r="243" spans="1:14">
      <c r="A243" s="4">
        <f t="shared" si="17"/>
        <v>2025</v>
      </c>
      <c r="B243" s="4">
        <f t="shared" si="18"/>
        <v>7</v>
      </c>
      <c r="C243" s="1">
        <f t="shared" si="19"/>
        <v>45854</v>
      </c>
      <c r="D243">
        <v>1</v>
      </c>
      <c r="E243" s="9">
        <v>0.23263888888888887</v>
      </c>
      <c r="F243">
        <v>60</v>
      </c>
      <c r="H243" s="8">
        <v>0</v>
      </c>
      <c r="I243">
        <v>1</v>
      </c>
    </row>
    <row r="244" spans="1:14">
      <c r="A244" s="4">
        <f t="shared" si="17"/>
        <v>2025</v>
      </c>
      <c r="B244" s="4">
        <f t="shared" si="18"/>
        <v>7</v>
      </c>
      <c r="C244" s="1">
        <f t="shared" si="19"/>
        <v>45855</v>
      </c>
      <c r="D244">
        <v>1</v>
      </c>
      <c r="E244" s="9">
        <v>0.25</v>
      </c>
      <c r="F244">
        <v>35</v>
      </c>
      <c r="H244" s="8">
        <v>0</v>
      </c>
      <c r="I244">
        <v>0</v>
      </c>
    </row>
    <row r="245" spans="1:14">
      <c r="A245" s="4">
        <f t="shared" si="17"/>
        <v>2025</v>
      </c>
      <c r="B245" s="4">
        <f t="shared" si="18"/>
        <v>7</v>
      </c>
      <c r="C245" s="1">
        <f t="shared" si="19"/>
        <v>45856</v>
      </c>
      <c r="D245">
        <v>1</v>
      </c>
      <c r="E245" s="9">
        <v>0.22916666666666666</v>
      </c>
      <c r="F245">
        <v>60</v>
      </c>
      <c r="H245" s="8">
        <v>9</v>
      </c>
      <c r="I245">
        <v>1</v>
      </c>
    </row>
    <row r="246" spans="1:14">
      <c r="A246" s="4">
        <f t="shared" si="17"/>
        <v>2025</v>
      </c>
      <c r="B246" s="4">
        <f t="shared" si="18"/>
        <v>7</v>
      </c>
      <c r="C246" s="1">
        <f t="shared" si="19"/>
        <v>45857</v>
      </c>
      <c r="D246">
        <v>1</v>
      </c>
      <c r="E246" s="9">
        <v>0.21180555555555555</v>
      </c>
      <c r="F246">
        <v>60</v>
      </c>
      <c r="H246" s="8">
        <v>14</v>
      </c>
      <c r="I246">
        <v>0</v>
      </c>
    </row>
    <row r="247" spans="1:14">
      <c r="A247" s="4">
        <f t="shared" si="17"/>
        <v>2025</v>
      </c>
      <c r="B247" s="4">
        <f t="shared" si="18"/>
        <v>7</v>
      </c>
      <c r="C247" s="1">
        <f t="shared" si="19"/>
        <v>45858</v>
      </c>
      <c r="D247" s="8">
        <v>1</v>
      </c>
      <c r="E247" s="9">
        <v>0.3125</v>
      </c>
      <c r="F247">
        <v>60</v>
      </c>
      <c r="H247" s="8">
        <v>6</v>
      </c>
      <c r="I247">
        <v>0</v>
      </c>
    </row>
    <row r="248" spans="1:14">
      <c r="A248" s="4">
        <f t="shared" si="17"/>
        <v>2025</v>
      </c>
      <c r="B248" s="4">
        <f t="shared" si="18"/>
        <v>7</v>
      </c>
      <c r="C248" s="1">
        <f t="shared" si="19"/>
        <v>45859</v>
      </c>
      <c r="D248" s="8">
        <v>1</v>
      </c>
      <c r="E248" s="9">
        <v>0.22777777777777777</v>
      </c>
      <c r="F248">
        <v>75</v>
      </c>
      <c r="H248" s="8">
        <v>20</v>
      </c>
      <c r="I248">
        <v>1</v>
      </c>
    </row>
    <row r="249" spans="1:14">
      <c r="A249" s="4">
        <f t="shared" si="17"/>
        <v>2025</v>
      </c>
      <c r="B249" s="4">
        <f t="shared" si="18"/>
        <v>7</v>
      </c>
      <c r="C249" s="1">
        <f t="shared" si="19"/>
        <v>45860</v>
      </c>
      <c r="D249" s="8">
        <v>1</v>
      </c>
      <c r="E249" s="9">
        <v>0.23611111111111113</v>
      </c>
      <c r="F249">
        <v>105</v>
      </c>
      <c r="H249" s="8">
        <v>20</v>
      </c>
      <c r="I249" s="8">
        <v>1</v>
      </c>
    </row>
    <row r="250" spans="1:14">
      <c r="A250" s="4">
        <f t="shared" si="17"/>
        <v>2025</v>
      </c>
      <c r="B250" s="4">
        <f t="shared" si="18"/>
        <v>7</v>
      </c>
      <c r="C250" s="1">
        <f t="shared" si="19"/>
        <v>45861</v>
      </c>
      <c r="D250" s="8">
        <v>0</v>
      </c>
      <c r="E250" s="9">
        <v>0.22916666666666666</v>
      </c>
      <c r="F250">
        <v>60</v>
      </c>
      <c r="H250" s="8">
        <v>20</v>
      </c>
      <c r="I250" s="8">
        <v>1</v>
      </c>
      <c r="N250" t="s">
        <v>51</v>
      </c>
    </row>
    <row r="251" spans="1:14">
      <c r="A251" s="4">
        <f t="shared" si="17"/>
        <v>2025</v>
      </c>
      <c r="B251" s="4">
        <f t="shared" si="18"/>
        <v>7</v>
      </c>
      <c r="C251" s="1">
        <f t="shared" si="19"/>
        <v>45862</v>
      </c>
      <c r="D251" s="8">
        <v>1</v>
      </c>
      <c r="E251" s="9">
        <v>0.22569444444444445</v>
      </c>
      <c r="F251">
        <v>80</v>
      </c>
      <c r="H251" s="8">
        <v>9</v>
      </c>
      <c r="I251" s="8">
        <v>1</v>
      </c>
    </row>
    <row r="252" spans="1:14">
      <c r="A252" s="4">
        <f t="shared" si="17"/>
        <v>2025</v>
      </c>
      <c r="B252" s="4">
        <f t="shared" si="18"/>
        <v>7</v>
      </c>
      <c r="C252" s="1">
        <f t="shared" si="19"/>
        <v>45863</v>
      </c>
      <c r="D252" s="8">
        <v>1</v>
      </c>
      <c r="E252" s="9">
        <v>0.23611111111111113</v>
      </c>
      <c r="F252">
        <v>55</v>
      </c>
      <c r="H252" s="8">
        <v>9</v>
      </c>
      <c r="I252" s="8">
        <v>1</v>
      </c>
    </row>
    <row r="253" spans="1:14">
      <c r="A253" s="4">
        <f t="shared" si="17"/>
        <v>2025</v>
      </c>
      <c r="B253" s="4">
        <f t="shared" si="18"/>
        <v>7</v>
      </c>
      <c r="C253" s="1">
        <f t="shared" si="19"/>
        <v>45864</v>
      </c>
      <c r="D253" s="8">
        <v>0</v>
      </c>
      <c r="E253" s="9">
        <v>0.25</v>
      </c>
      <c r="F253">
        <v>40</v>
      </c>
      <c r="H253" s="8">
        <v>0</v>
      </c>
      <c r="I253" s="8">
        <v>0</v>
      </c>
      <c r="N253" t="s">
        <v>52</v>
      </c>
    </row>
    <row r="254" spans="1:14">
      <c r="A254" s="4">
        <f t="shared" si="17"/>
        <v>2025</v>
      </c>
      <c r="B254" s="4">
        <f t="shared" si="18"/>
        <v>7</v>
      </c>
      <c r="C254" s="1">
        <f t="shared" si="19"/>
        <v>45865</v>
      </c>
      <c r="D254" s="8">
        <v>0</v>
      </c>
      <c r="E254" s="9">
        <v>0.30555555555555552</v>
      </c>
      <c r="F254">
        <v>0</v>
      </c>
      <c r="H254" s="8">
        <v>0</v>
      </c>
      <c r="I254" s="8">
        <v>0</v>
      </c>
      <c r="N254" t="s">
        <v>53</v>
      </c>
    </row>
    <row r="255" spans="1:14">
      <c r="A255" s="4">
        <f t="shared" si="17"/>
        <v>2025</v>
      </c>
      <c r="B255" s="4">
        <f t="shared" si="18"/>
        <v>7</v>
      </c>
      <c r="C255" s="1">
        <f t="shared" si="19"/>
        <v>45866</v>
      </c>
      <c r="D255" s="8">
        <v>1</v>
      </c>
      <c r="E255" s="9">
        <v>0.20833333333333334</v>
      </c>
      <c r="F255">
        <v>120</v>
      </c>
      <c r="H255" s="8">
        <v>40</v>
      </c>
      <c r="I255" s="8">
        <v>1</v>
      </c>
    </row>
    <row r="256" spans="1:14">
      <c r="A256" s="4">
        <f t="shared" si="17"/>
        <v>2025</v>
      </c>
      <c r="B256" s="4">
        <f t="shared" si="18"/>
        <v>7</v>
      </c>
      <c r="C256" s="1">
        <f t="shared" si="19"/>
        <v>45867</v>
      </c>
      <c r="D256" s="8">
        <v>1</v>
      </c>
      <c r="E256" s="9">
        <v>0.22708333333333333</v>
      </c>
      <c r="F256">
        <v>130</v>
      </c>
      <c r="H256" s="8">
        <v>40</v>
      </c>
      <c r="I256" s="8">
        <v>0</v>
      </c>
    </row>
    <row r="257" spans="1:14">
      <c r="A257" s="4">
        <f t="shared" si="17"/>
        <v>2025</v>
      </c>
      <c r="B257" s="4">
        <f t="shared" si="18"/>
        <v>7</v>
      </c>
      <c r="C257" s="1">
        <f t="shared" si="19"/>
        <v>45868</v>
      </c>
      <c r="D257" s="8">
        <v>1</v>
      </c>
      <c r="E257" s="9">
        <v>0.25694444444444448</v>
      </c>
      <c r="F257">
        <v>25</v>
      </c>
      <c r="H257" s="8">
        <v>0</v>
      </c>
      <c r="I257" s="8">
        <v>1</v>
      </c>
    </row>
    <row r="258" spans="1:14">
      <c r="A258" s="4">
        <f t="shared" ref="A258:A260" si="20">YEAR(C258)</f>
        <v>2025</v>
      </c>
      <c r="B258" s="4">
        <f t="shared" ref="B258:B260" si="21">MONTH(C258)</f>
        <v>7</v>
      </c>
      <c r="C258" s="1">
        <f t="shared" si="19"/>
        <v>45869</v>
      </c>
      <c r="D258" s="8">
        <v>1</v>
      </c>
      <c r="E258" s="9">
        <v>0.28472222222222221</v>
      </c>
      <c r="F258">
        <v>20</v>
      </c>
      <c r="H258" s="8">
        <v>0</v>
      </c>
      <c r="I258" s="8">
        <v>1</v>
      </c>
    </row>
    <row r="259" spans="1:14">
      <c r="A259" s="4">
        <f t="shared" si="20"/>
        <v>2025</v>
      </c>
      <c r="B259" s="4">
        <f t="shared" si="21"/>
        <v>8</v>
      </c>
      <c r="C259" s="1">
        <f t="shared" si="19"/>
        <v>45870</v>
      </c>
      <c r="D259" s="8">
        <v>1</v>
      </c>
      <c r="E259" s="9">
        <v>0.25</v>
      </c>
      <c r="F259">
        <v>35</v>
      </c>
      <c r="H259" s="8">
        <v>0</v>
      </c>
      <c r="I259" s="8">
        <v>1</v>
      </c>
    </row>
    <row r="260" spans="1:14">
      <c r="A260" s="4">
        <f t="shared" si="20"/>
        <v>2025</v>
      </c>
      <c r="B260" s="4">
        <f t="shared" si="21"/>
        <v>8</v>
      </c>
      <c r="C260" s="1">
        <f t="shared" si="19"/>
        <v>45871</v>
      </c>
      <c r="D260" s="8">
        <v>1</v>
      </c>
      <c r="E260" s="9">
        <v>0.29166666666666669</v>
      </c>
      <c r="F260">
        <v>20</v>
      </c>
      <c r="H260" s="8">
        <v>10</v>
      </c>
      <c r="I260" s="8">
        <v>1</v>
      </c>
    </row>
    <row r="261" spans="1:14">
      <c r="A261" s="4">
        <f t="shared" ref="A261:A273" si="22">YEAR(C261)</f>
        <v>2025</v>
      </c>
      <c r="B261" s="4">
        <f t="shared" ref="B261:B273" si="23">MONTH(C261)</f>
        <v>8</v>
      </c>
      <c r="C261" s="1">
        <f t="shared" si="19"/>
        <v>45872</v>
      </c>
      <c r="D261" s="8">
        <v>1</v>
      </c>
      <c r="E261" s="9">
        <v>0.3125</v>
      </c>
      <c r="F261">
        <v>20</v>
      </c>
      <c r="H261" s="8">
        <v>10</v>
      </c>
      <c r="I261" s="8">
        <v>1</v>
      </c>
    </row>
    <row r="262" spans="1:14">
      <c r="A262" s="4">
        <f t="shared" si="22"/>
        <v>2025</v>
      </c>
      <c r="B262" s="4">
        <f t="shared" si="23"/>
        <v>8</v>
      </c>
      <c r="C262" s="1">
        <f t="shared" si="19"/>
        <v>45873</v>
      </c>
      <c r="D262" s="8">
        <v>1</v>
      </c>
      <c r="E262" s="9">
        <v>0.28125</v>
      </c>
      <c r="F262" s="8">
        <v>70</v>
      </c>
      <c r="H262" s="8">
        <v>40</v>
      </c>
      <c r="I262" s="8">
        <v>1</v>
      </c>
    </row>
    <row r="263" spans="1:14">
      <c r="A263" s="4">
        <f t="shared" si="22"/>
        <v>2025</v>
      </c>
      <c r="B263" s="4">
        <f t="shared" si="23"/>
        <v>8</v>
      </c>
      <c r="C263" s="1">
        <f t="shared" si="19"/>
        <v>45874</v>
      </c>
      <c r="D263" s="8">
        <v>1</v>
      </c>
      <c r="E263" s="9">
        <v>0.21180555555555555</v>
      </c>
      <c r="F263" s="8">
        <v>80</v>
      </c>
      <c r="H263" s="8">
        <v>40</v>
      </c>
      <c r="I263" s="8">
        <v>1</v>
      </c>
    </row>
    <row r="264" spans="1:14">
      <c r="A264" s="4">
        <f t="shared" si="22"/>
        <v>2025</v>
      </c>
      <c r="B264" s="4">
        <f t="shared" si="23"/>
        <v>8</v>
      </c>
      <c r="C264" s="1">
        <f t="shared" si="19"/>
        <v>45875</v>
      </c>
      <c r="D264">
        <v>0</v>
      </c>
      <c r="E264" s="9">
        <v>0.21180555555555555</v>
      </c>
      <c r="F264">
        <v>80</v>
      </c>
      <c r="H264" s="8">
        <v>40</v>
      </c>
      <c r="I264">
        <v>1</v>
      </c>
      <c r="N264" t="s">
        <v>54</v>
      </c>
    </row>
    <row r="265" spans="1:14">
      <c r="A265" s="4">
        <f t="shared" si="22"/>
        <v>2025</v>
      </c>
      <c r="B265" s="4">
        <f t="shared" si="23"/>
        <v>8</v>
      </c>
      <c r="C265" s="1">
        <f t="shared" ref="C265:C328" si="24">C264+1</f>
        <v>45876</v>
      </c>
      <c r="D265" s="8">
        <v>0</v>
      </c>
      <c r="E265" s="9">
        <v>0.21180555555555555</v>
      </c>
      <c r="F265" s="8">
        <v>80</v>
      </c>
      <c r="H265" s="8">
        <v>40</v>
      </c>
      <c r="I265" s="8">
        <v>1</v>
      </c>
    </row>
    <row r="266" spans="1:14">
      <c r="A266" s="4">
        <f t="shared" si="22"/>
        <v>2025</v>
      </c>
      <c r="B266" s="4">
        <f t="shared" si="23"/>
        <v>8</v>
      </c>
      <c r="C266" s="1">
        <f t="shared" si="24"/>
        <v>45877</v>
      </c>
      <c r="D266">
        <v>1</v>
      </c>
      <c r="E266" s="9">
        <v>0.22708333333333333</v>
      </c>
      <c r="F266">
        <v>70</v>
      </c>
      <c r="I266">
        <v>1</v>
      </c>
    </row>
    <row r="267" spans="1:14">
      <c r="A267" s="4">
        <f t="shared" si="22"/>
        <v>2025</v>
      </c>
      <c r="B267" s="4">
        <f t="shared" si="23"/>
        <v>8</v>
      </c>
      <c r="C267" s="1">
        <f t="shared" si="24"/>
        <v>45878</v>
      </c>
      <c r="D267" s="8">
        <v>1</v>
      </c>
      <c r="I267">
        <v>0</v>
      </c>
    </row>
    <row r="268" spans="1:14">
      <c r="A268" s="4">
        <f t="shared" si="22"/>
        <v>2025</v>
      </c>
      <c r="B268" s="4">
        <f t="shared" si="23"/>
        <v>8</v>
      </c>
      <c r="C268" s="1">
        <f t="shared" si="24"/>
        <v>45879</v>
      </c>
      <c r="D268" s="8">
        <v>1</v>
      </c>
      <c r="I268">
        <v>0</v>
      </c>
    </row>
    <row r="269" spans="1:14">
      <c r="A269" s="4">
        <f t="shared" si="22"/>
        <v>2025</v>
      </c>
      <c r="B269" s="4">
        <f t="shared" si="23"/>
        <v>8</v>
      </c>
      <c r="C269" s="1">
        <f t="shared" si="24"/>
        <v>45880</v>
      </c>
      <c r="D269" s="8">
        <v>1</v>
      </c>
      <c r="I269">
        <v>0</v>
      </c>
    </row>
    <row r="270" spans="1:14">
      <c r="A270" s="4">
        <f t="shared" si="22"/>
        <v>2025</v>
      </c>
      <c r="B270" s="4">
        <f t="shared" si="23"/>
        <v>8</v>
      </c>
      <c r="C270" s="1">
        <f t="shared" si="24"/>
        <v>45881</v>
      </c>
      <c r="D270" s="8">
        <v>1</v>
      </c>
      <c r="E270" s="9">
        <v>0.3125</v>
      </c>
      <c r="F270">
        <v>120</v>
      </c>
      <c r="H270" s="8">
        <v>0</v>
      </c>
      <c r="I270">
        <v>1</v>
      </c>
    </row>
    <row r="271" spans="1:14">
      <c r="A271" s="4">
        <f t="shared" si="22"/>
        <v>2025</v>
      </c>
      <c r="B271" s="4">
        <f t="shared" si="23"/>
        <v>8</v>
      </c>
      <c r="C271" s="1">
        <f t="shared" si="24"/>
        <v>45882</v>
      </c>
      <c r="D271" s="8">
        <v>1</v>
      </c>
      <c r="E271" s="9">
        <v>0.25</v>
      </c>
      <c r="F271">
        <v>310</v>
      </c>
      <c r="H271" s="8">
        <v>0</v>
      </c>
      <c r="I271">
        <v>1</v>
      </c>
    </row>
    <row r="272" spans="1:14">
      <c r="A272" s="4">
        <f t="shared" si="22"/>
        <v>2025</v>
      </c>
      <c r="B272" s="4">
        <f t="shared" si="23"/>
        <v>8</v>
      </c>
      <c r="C272" s="1">
        <f t="shared" si="24"/>
        <v>45883</v>
      </c>
      <c r="D272" s="8">
        <v>1</v>
      </c>
      <c r="E272" s="9">
        <v>0.23263888888888887</v>
      </c>
      <c r="F272">
        <v>60</v>
      </c>
      <c r="H272" s="8">
        <v>0</v>
      </c>
      <c r="I272">
        <v>1</v>
      </c>
    </row>
    <row r="273" spans="1:9">
      <c r="A273" s="4">
        <f t="shared" si="22"/>
        <v>2025</v>
      </c>
      <c r="B273" s="4">
        <f t="shared" si="23"/>
        <v>8</v>
      </c>
      <c r="C273" s="1">
        <f t="shared" si="24"/>
        <v>45884</v>
      </c>
      <c r="D273" s="8">
        <v>1</v>
      </c>
      <c r="E273" s="9">
        <v>0.20972222222222223</v>
      </c>
      <c r="F273">
        <v>90</v>
      </c>
      <c r="H273" s="8">
        <v>0</v>
      </c>
      <c r="I273">
        <v>1</v>
      </c>
    </row>
    <row r="274" spans="1:9">
      <c r="A274" s="4">
        <f t="shared" ref="A274:A311" si="25">YEAR(C274)</f>
        <v>2025</v>
      </c>
      <c r="B274" s="4">
        <f t="shared" ref="B274:B311" si="26">MONTH(C274)</f>
        <v>8</v>
      </c>
      <c r="C274" s="1">
        <f t="shared" si="24"/>
        <v>45885</v>
      </c>
      <c r="D274">
        <v>0</v>
      </c>
      <c r="E274" s="9">
        <v>0.3125</v>
      </c>
      <c r="H274" s="8">
        <v>0</v>
      </c>
      <c r="I274">
        <v>1</v>
      </c>
    </row>
    <row r="275" spans="1:9">
      <c r="A275" s="4">
        <f t="shared" si="25"/>
        <v>2025</v>
      </c>
      <c r="B275" s="4">
        <f t="shared" si="26"/>
        <v>8</v>
      </c>
      <c r="C275" s="1">
        <f t="shared" si="24"/>
        <v>45886</v>
      </c>
      <c r="D275">
        <v>0</v>
      </c>
      <c r="E275" s="9">
        <v>0.3125</v>
      </c>
      <c r="H275" s="8">
        <v>0</v>
      </c>
      <c r="I275">
        <v>0</v>
      </c>
    </row>
    <row r="276" spans="1:9">
      <c r="A276" s="4">
        <f t="shared" si="25"/>
        <v>2025</v>
      </c>
      <c r="B276" s="4">
        <f t="shared" si="26"/>
        <v>8</v>
      </c>
      <c r="C276" s="1">
        <f t="shared" si="24"/>
        <v>45887</v>
      </c>
      <c r="D276">
        <v>1</v>
      </c>
      <c r="E276" s="9">
        <v>0.28472222222222221</v>
      </c>
      <c r="F276">
        <v>0</v>
      </c>
      <c r="H276" s="8">
        <v>0</v>
      </c>
      <c r="I276">
        <v>1</v>
      </c>
    </row>
    <row r="277" spans="1:9">
      <c r="A277" s="4">
        <f t="shared" si="25"/>
        <v>2025</v>
      </c>
      <c r="B277" s="4">
        <f t="shared" si="26"/>
        <v>8</v>
      </c>
      <c r="C277" s="1">
        <f t="shared" si="24"/>
        <v>45888</v>
      </c>
      <c r="D277">
        <v>1</v>
      </c>
      <c r="E277" s="9">
        <v>0.21180555555555555</v>
      </c>
      <c r="F277">
        <v>120</v>
      </c>
      <c r="H277" s="8">
        <v>0</v>
      </c>
      <c r="I277">
        <v>1</v>
      </c>
    </row>
    <row r="278" spans="1:9">
      <c r="A278" s="4">
        <f t="shared" si="25"/>
        <v>2025</v>
      </c>
      <c r="B278" s="4">
        <f t="shared" si="26"/>
        <v>8</v>
      </c>
      <c r="C278" s="1">
        <f t="shared" si="24"/>
        <v>45889</v>
      </c>
      <c r="D278">
        <v>1</v>
      </c>
      <c r="E278" s="9">
        <v>0.22569444444444445</v>
      </c>
      <c r="F278">
        <v>60</v>
      </c>
      <c r="H278" s="8">
        <v>0</v>
      </c>
      <c r="I278">
        <v>1</v>
      </c>
    </row>
    <row r="279" spans="1:9">
      <c r="A279" s="4">
        <f t="shared" si="25"/>
        <v>2025</v>
      </c>
      <c r="B279" s="4">
        <f t="shared" si="26"/>
        <v>8</v>
      </c>
      <c r="C279" s="1">
        <f t="shared" si="24"/>
        <v>45890</v>
      </c>
      <c r="D279">
        <v>0</v>
      </c>
      <c r="E279" s="9">
        <v>0.22152777777777777</v>
      </c>
      <c r="F279">
        <v>75</v>
      </c>
      <c r="H279" s="8">
        <v>0</v>
      </c>
      <c r="I279">
        <v>0</v>
      </c>
    </row>
    <row r="280" spans="1:9">
      <c r="A280" s="4">
        <f t="shared" si="25"/>
        <v>2025</v>
      </c>
      <c r="B280" s="4">
        <f t="shared" si="26"/>
        <v>8</v>
      </c>
      <c r="C280" s="1">
        <f t="shared" si="24"/>
        <v>45891</v>
      </c>
      <c r="D280">
        <v>1</v>
      </c>
      <c r="E280" s="9">
        <v>0.22152777777777777</v>
      </c>
      <c r="F280">
        <v>75</v>
      </c>
      <c r="H280" s="8">
        <v>0</v>
      </c>
      <c r="I280">
        <v>1</v>
      </c>
    </row>
    <row r="281" spans="1:9">
      <c r="A281" s="4">
        <f t="shared" si="25"/>
        <v>2025</v>
      </c>
      <c r="B281" s="4">
        <f t="shared" si="26"/>
        <v>8</v>
      </c>
      <c r="C281" s="1">
        <f t="shared" si="24"/>
        <v>45892</v>
      </c>
    </row>
    <row r="282" spans="1:9">
      <c r="A282" s="4">
        <f t="shared" si="25"/>
        <v>2025</v>
      </c>
      <c r="B282" s="4">
        <f t="shared" si="26"/>
        <v>8</v>
      </c>
      <c r="C282" s="1">
        <f t="shared" si="24"/>
        <v>45893</v>
      </c>
    </row>
    <row r="283" spans="1:9">
      <c r="A283" s="4">
        <f t="shared" si="25"/>
        <v>2025</v>
      </c>
      <c r="B283" s="4">
        <f t="shared" si="26"/>
        <v>8</v>
      </c>
      <c r="C283" s="1">
        <f t="shared" si="24"/>
        <v>45894</v>
      </c>
    </row>
    <row r="284" spans="1:9">
      <c r="A284" s="4">
        <f t="shared" si="25"/>
        <v>2025</v>
      </c>
      <c r="B284" s="4">
        <f t="shared" si="26"/>
        <v>8</v>
      </c>
      <c r="C284" s="1">
        <f t="shared" si="24"/>
        <v>45895</v>
      </c>
    </row>
    <row r="285" spans="1:9">
      <c r="A285" s="4">
        <f t="shared" si="25"/>
        <v>2025</v>
      </c>
      <c r="B285" s="4">
        <f t="shared" si="26"/>
        <v>8</v>
      </c>
      <c r="C285" s="1">
        <f t="shared" si="24"/>
        <v>45896</v>
      </c>
    </row>
    <row r="286" spans="1:9">
      <c r="A286" s="4">
        <f t="shared" si="25"/>
        <v>2025</v>
      </c>
      <c r="B286" s="4">
        <f t="shared" si="26"/>
        <v>8</v>
      </c>
      <c r="C286" s="1">
        <f t="shared" si="24"/>
        <v>45897</v>
      </c>
    </row>
    <row r="287" spans="1:9">
      <c r="A287" s="4">
        <f t="shared" si="25"/>
        <v>2025</v>
      </c>
      <c r="B287" s="4">
        <f t="shared" si="26"/>
        <v>8</v>
      </c>
      <c r="C287" s="1">
        <f t="shared" si="24"/>
        <v>45898</v>
      </c>
    </row>
    <row r="288" spans="1:9">
      <c r="A288" s="4">
        <f t="shared" si="25"/>
        <v>2025</v>
      </c>
      <c r="B288" s="4">
        <f t="shared" si="26"/>
        <v>8</v>
      </c>
      <c r="C288" s="1">
        <f t="shared" si="24"/>
        <v>45899</v>
      </c>
    </row>
    <row r="289" spans="1:10">
      <c r="A289" s="4">
        <f t="shared" si="25"/>
        <v>2025</v>
      </c>
      <c r="B289" s="4">
        <f t="shared" si="26"/>
        <v>8</v>
      </c>
      <c r="C289" s="1">
        <f t="shared" si="24"/>
        <v>45900</v>
      </c>
    </row>
    <row r="290" spans="1:10">
      <c r="A290" s="4">
        <f t="shared" si="25"/>
        <v>2025</v>
      </c>
      <c r="B290" s="4">
        <f t="shared" si="26"/>
        <v>9</v>
      </c>
      <c r="C290" s="1">
        <f t="shared" si="24"/>
        <v>45901</v>
      </c>
      <c r="D290">
        <v>1</v>
      </c>
      <c r="E290" s="9">
        <v>0.23958333333333334</v>
      </c>
      <c r="F290">
        <v>90</v>
      </c>
      <c r="I290">
        <v>1</v>
      </c>
    </row>
    <row r="291" spans="1:10">
      <c r="A291" s="4">
        <f t="shared" si="25"/>
        <v>2025</v>
      </c>
      <c r="B291" s="4">
        <f t="shared" si="26"/>
        <v>9</v>
      </c>
      <c r="C291" s="1">
        <f t="shared" si="24"/>
        <v>45902</v>
      </c>
      <c r="D291">
        <v>1</v>
      </c>
      <c r="E291" s="9">
        <v>0.21597222222222223</v>
      </c>
      <c r="F291">
        <v>80</v>
      </c>
      <c r="I291">
        <v>1</v>
      </c>
    </row>
    <row r="292" spans="1:10">
      <c r="A292" s="4">
        <f t="shared" si="25"/>
        <v>2025</v>
      </c>
      <c r="B292" s="4">
        <f t="shared" si="26"/>
        <v>9</v>
      </c>
      <c r="C292" s="1">
        <f t="shared" si="24"/>
        <v>45903</v>
      </c>
      <c r="D292">
        <v>1</v>
      </c>
      <c r="E292" s="9">
        <v>0.20972222222222223</v>
      </c>
      <c r="F292">
        <v>110</v>
      </c>
      <c r="I292">
        <v>1</v>
      </c>
      <c r="J292">
        <v>18</v>
      </c>
    </row>
    <row r="293" spans="1:10">
      <c r="A293" s="4">
        <f t="shared" si="25"/>
        <v>2025</v>
      </c>
      <c r="B293" s="4">
        <f t="shared" si="26"/>
        <v>9</v>
      </c>
      <c r="C293" s="1">
        <f t="shared" si="24"/>
        <v>45904</v>
      </c>
      <c r="D293">
        <v>1</v>
      </c>
      <c r="E293" s="9">
        <v>0.20902777777777778</v>
      </c>
      <c r="F293">
        <v>290</v>
      </c>
      <c r="I293">
        <v>1</v>
      </c>
      <c r="J293">
        <v>17</v>
      </c>
    </row>
    <row r="294" spans="1:10">
      <c r="A294" s="4">
        <f t="shared" si="25"/>
        <v>2025</v>
      </c>
      <c r="B294" s="4">
        <f t="shared" si="26"/>
        <v>9</v>
      </c>
      <c r="C294" s="1">
        <f t="shared" si="24"/>
        <v>45905</v>
      </c>
      <c r="D294">
        <v>1</v>
      </c>
      <c r="E294" s="9">
        <v>0.22916666666666666</v>
      </c>
      <c r="F294">
        <v>60</v>
      </c>
      <c r="I294">
        <v>1</v>
      </c>
      <c r="J294">
        <v>17</v>
      </c>
    </row>
    <row r="295" spans="1:10">
      <c r="A295" s="4">
        <f t="shared" si="25"/>
        <v>2025</v>
      </c>
      <c r="B295" s="4">
        <f t="shared" si="26"/>
        <v>9</v>
      </c>
      <c r="C295" s="1">
        <f t="shared" si="24"/>
        <v>45906</v>
      </c>
      <c r="D295">
        <v>1</v>
      </c>
      <c r="E295" s="9">
        <v>0.21875</v>
      </c>
      <c r="F295">
        <v>90</v>
      </c>
      <c r="I295">
        <v>0</v>
      </c>
    </row>
    <row r="296" spans="1:10">
      <c r="A296" s="4">
        <f t="shared" si="25"/>
        <v>2025</v>
      </c>
      <c r="B296" s="4">
        <f t="shared" si="26"/>
        <v>9</v>
      </c>
      <c r="C296" s="1">
        <f t="shared" si="24"/>
        <v>45907</v>
      </c>
      <c r="D296">
        <v>1</v>
      </c>
      <c r="E296" s="9">
        <v>0.23472222222222219</v>
      </c>
      <c r="F296">
        <v>110</v>
      </c>
      <c r="I296">
        <v>1</v>
      </c>
    </row>
    <row r="297" spans="1:10">
      <c r="A297" s="4">
        <f t="shared" si="25"/>
        <v>2025</v>
      </c>
      <c r="B297" s="4">
        <f t="shared" si="26"/>
        <v>9</v>
      </c>
      <c r="C297" s="1">
        <f t="shared" si="24"/>
        <v>45908</v>
      </c>
      <c r="D297">
        <v>1</v>
      </c>
      <c r="E297" s="9">
        <v>0.22916666666666666</v>
      </c>
      <c r="F297">
        <v>85</v>
      </c>
      <c r="I297">
        <v>0</v>
      </c>
    </row>
    <row r="298" spans="1:10">
      <c r="A298" s="4">
        <f t="shared" si="25"/>
        <v>2025</v>
      </c>
      <c r="B298" s="4">
        <f t="shared" si="26"/>
        <v>9</v>
      </c>
      <c r="C298" s="1">
        <f t="shared" si="24"/>
        <v>45909</v>
      </c>
      <c r="D298">
        <v>1</v>
      </c>
      <c r="E298" s="9">
        <v>0.21597222222222223</v>
      </c>
      <c r="F298">
        <v>105</v>
      </c>
      <c r="I298">
        <v>1</v>
      </c>
      <c r="J298">
        <v>17</v>
      </c>
    </row>
    <row r="299" spans="1:10">
      <c r="A299" s="4">
        <f t="shared" si="25"/>
        <v>2025</v>
      </c>
      <c r="B299" s="4">
        <f t="shared" si="26"/>
        <v>9</v>
      </c>
      <c r="C299" s="1">
        <f t="shared" si="24"/>
        <v>45910</v>
      </c>
      <c r="D299">
        <v>1</v>
      </c>
      <c r="E299" s="9">
        <v>0.21388888888888891</v>
      </c>
      <c r="F299">
        <v>110</v>
      </c>
      <c r="I299">
        <v>1</v>
      </c>
      <c r="J299">
        <v>18</v>
      </c>
    </row>
    <row r="300" spans="1:10">
      <c r="A300" s="4">
        <f t="shared" si="25"/>
        <v>2025</v>
      </c>
      <c r="B300" s="4">
        <f t="shared" si="26"/>
        <v>9</v>
      </c>
      <c r="C300" s="1">
        <f t="shared" si="24"/>
        <v>45911</v>
      </c>
      <c r="D300">
        <v>1</v>
      </c>
      <c r="E300" s="9">
        <v>0.21388888888888891</v>
      </c>
      <c r="F300">
        <v>85</v>
      </c>
      <c r="I300">
        <v>1</v>
      </c>
      <c r="J300">
        <v>18</v>
      </c>
    </row>
    <row r="301" spans="1:10">
      <c r="A301" s="4">
        <f t="shared" si="25"/>
        <v>2025</v>
      </c>
      <c r="B301" s="4">
        <f t="shared" si="26"/>
        <v>9</v>
      </c>
      <c r="C301" s="1">
        <f t="shared" si="24"/>
        <v>45912</v>
      </c>
      <c r="D301">
        <v>1</v>
      </c>
      <c r="E301" s="9">
        <v>0.21875</v>
      </c>
      <c r="F301">
        <v>75</v>
      </c>
      <c r="I301">
        <v>1</v>
      </c>
    </row>
    <row r="302" spans="1:10">
      <c r="A302" s="4">
        <f t="shared" si="25"/>
        <v>2025</v>
      </c>
      <c r="B302" s="4">
        <f t="shared" si="26"/>
        <v>9</v>
      </c>
      <c r="C302" s="1">
        <f t="shared" si="24"/>
        <v>45913</v>
      </c>
      <c r="D302">
        <v>0</v>
      </c>
      <c r="E302" s="9">
        <v>0.23958333333333334</v>
      </c>
      <c r="F302">
        <v>60</v>
      </c>
      <c r="I302">
        <v>0</v>
      </c>
    </row>
    <row r="303" spans="1:10">
      <c r="A303" s="4">
        <f t="shared" si="25"/>
        <v>2025</v>
      </c>
      <c r="B303" s="4">
        <f t="shared" si="26"/>
        <v>9</v>
      </c>
      <c r="C303" s="1">
        <f t="shared" si="24"/>
        <v>45914</v>
      </c>
      <c r="D303">
        <v>0</v>
      </c>
      <c r="E303" s="9">
        <v>0.29166666666666669</v>
      </c>
      <c r="F303">
        <v>0</v>
      </c>
      <c r="I303">
        <v>0</v>
      </c>
    </row>
    <row r="304" spans="1:10">
      <c r="A304" s="4">
        <f t="shared" si="25"/>
        <v>2025</v>
      </c>
      <c r="B304" s="4">
        <f t="shared" si="26"/>
        <v>9</v>
      </c>
      <c r="C304" s="1">
        <f t="shared" si="24"/>
        <v>45915</v>
      </c>
      <c r="D304">
        <v>1</v>
      </c>
      <c r="E304" s="9">
        <v>0.29166666666666669</v>
      </c>
      <c r="F304">
        <v>0</v>
      </c>
      <c r="I304">
        <v>1</v>
      </c>
    </row>
    <row r="305" spans="1:13">
      <c r="A305" s="4">
        <f t="shared" si="25"/>
        <v>2025</v>
      </c>
      <c r="B305" s="4">
        <f t="shared" si="26"/>
        <v>9</v>
      </c>
      <c r="C305" s="1">
        <f t="shared" si="24"/>
        <v>45916</v>
      </c>
      <c r="D305">
        <v>1</v>
      </c>
      <c r="E305" s="9">
        <v>0.28472222222222221</v>
      </c>
      <c r="F305">
        <v>60</v>
      </c>
      <c r="I305">
        <v>1</v>
      </c>
      <c r="J305">
        <v>17</v>
      </c>
    </row>
    <row r="306" spans="1:13">
      <c r="A306" s="4">
        <f t="shared" si="25"/>
        <v>2025</v>
      </c>
      <c r="B306" s="4">
        <f t="shared" si="26"/>
        <v>9</v>
      </c>
      <c r="C306" s="1">
        <f t="shared" si="24"/>
        <v>45917</v>
      </c>
      <c r="D306">
        <v>1</v>
      </c>
      <c r="E306" s="9">
        <v>0.21180555555555555</v>
      </c>
      <c r="F306">
        <v>85</v>
      </c>
      <c r="H306" s="8">
        <v>20</v>
      </c>
      <c r="I306">
        <v>0</v>
      </c>
      <c r="J306">
        <v>19</v>
      </c>
    </row>
    <row r="307" spans="1:13">
      <c r="A307" s="4">
        <f t="shared" si="25"/>
        <v>2025</v>
      </c>
      <c r="B307" s="4">
        <f t="shared" si="26"/>
        <v>9</v>
      </c>
      <c r="C307" s="1">
        <f t="shared" si="24"/>
        <v>45918</v>
      </c>
      <c r="D307">
        <v>1</v>
      </c>
      <c r="E307" s="9">
        <v>0.22152777777777777</v>
      </c>
      <c r="F307">
        <v>75</v>
      </c>
      <c r="H307" s="8">
        <v>13</v>
      </c>
      <c r="I307">
        <v>1</v>
      </c>
      <c r="L307" s="8">
        <v>25</v>
      </c>
    </row>
    <row r="308" spans="1:13">
      <c r="A308" s="4">
        <f t="shared" si="25"/>
        <v>2025</v>
      </c>
      <c r="B308" s="4">
        <f t="shared" si="26"/>
        <v>9</v>
      </c>
      <c r="C308" s="1">
        <f t="shared" si="24"/>
        <v>45919</v>
      </c>
      <c r="D308">
        <v>1</v>
      </c>
      <c r="E308" s="9">
        <v>0.25</v>
      </c>
      <c r="F308">
        <v>30</v>
      </c>
      <c r="I308">
        <v>1</v>
      </c>
      <c r="J308">
        <v>20</v>
      </c>
      <c r="L308" s="8">
        <v>90</v>
      </c>
    </row>
    <row r="309" spans="1:13">
      <c r="A309" s="4">
        <f t="shared" si="25"/>
        <v>2025</v>
      </c>
      <c r="B309" s="4">
        <f t="shared" si="26"/>
        <v>9</v>
      </c>
      <c r="C309" s="1">
        <f t="shared" si="24"/>
        <v>45920</v>
      </c>
      <c r="D309">
        <v>0</v>
      </c>
      <c r="E309" s="9">
        <v>0.23958333333333334</v>
      </c>
      <c r="F309">
        <v>60</v>
      </c>
      <c r="I309">
        <v>1</v>
      </c>
      <c r="M309" s="8" t="s">
        <v>61</v>
      </c>
    </row>
    <row r="310" spans="1:13">
      <c r="A310" s="4">
        <f t="shared" si="25"/>
        <v>2025</v>
      </c>
      <c r="B310" s="4">
        <f t="shared" si="26"/>
        <v>9</v>
      </c>
      <c r="C310" s="1">
        <f t="shared" si="24"/>
        <v>45921</v>
      </c>
      <c r="D310">
        <v>1</v>
      </c>
      <c r="E310" s="9">
        <v>0.30208333333333331</v>
      </c>
      <c r="F310">
        <v>20</v>
      </c>
      <c r="I310">
        <v>0</v>
      </c>
      <c r="L310" s="8">
        <v>10</v>
      </c>
    </row>
    <row r="311" spans="1:13">
      <c r="A311" s="4">
        <f t="shared" si="25"/>
        <v>2025</v>
      </c>
      <c r="B311" s="4">
        <f t="shared" si="26"/>
        <v>9</v>
      </c>
      <c r="C311" s="1">
        <f t="shared" si="24"/>
        <v>45922</v>
      </c>
      <c r="D311">
        <v>1</v>
      </c>
      <c r="E311" s="9">
        <v>0.22777777777777777</v>
      </c>
      <c r="F311">
        <v>65</v>
      </c>
      <c r="I311">
        <v>1</v>
      </c>
    </row>
    <row r="312" spans="1:13">
      <c r="A312" s="4">
        <f t="shared" ref="A312:A324" si="27">YEAR(C312)</f>
        <v>2025</v>
      </c>
      <c r="B312" s="4">
        <f t="shared" ref="B312:B324" si="28">MONTH(C312)</f>
        <v>9</v>
      </c>
      <c r="C312" s="1">
        <f t="shared" si="24"/>
        <v>45923</v>
      </c>
      <c r="D312">
        <v>0</v>
      </c>
      <c r="E312" s="9">
        <v>0.22916666666666666</v>
      </c>
      <c r="F312">
        <v>45</v>
      </c>
      <c r="G312" s="8">
        <v>75</v>
      </c>
      <c r="H312" s="8">
        <v>20</v>
      </c>
      <c r="I312">
        <v>0</v>
      </c>
      <c r="J312">
        <v>18</v>
      </c>
      <c r="L312" s="8">
        <v>10</v>
      </c>
      <c r="M312" t="s">
        <v>62</v>
      </c>
    </row>
    <row r="313" spans="1:13">
      <c r="A313" s="4">
        <f t="shared" si="27"/>
        <v>2025</v>
      </c>
      <c r="B313" s="4">
        <f t="shared" si="28"/>
        <v>9</v>
      </c>
      <c r="C313" s="1">
        <f t="shared" si="24"/>
        <v>45924</v>
      </c>
      <c r="D313">
        <v>1</v>
      </c>
      <c r="E313" s="9">
        <v>0.23611111111111113</v>
      </c>
      <c r="F313">
        <v>5</v>
      </c>
      <c r="G313">
        <v>54</v>
      </c>
      <c r="H313" s="8">
        <v>16</v>
      </c>
      <c r="I313">
        <v>0</v>
      </c>
      <c r="J313">
        <v>20</v>
      </c>
    </row>
    <row r="314" spans="1:13">
      <c r="A314" s="4">
        <f t="shared" si="27"/>
        <v>2025</v>
      </c>
      <c r="B314" s="4">
        <f t="shared" si="28"/>
        <v>9</v>
      </c>
      <c r="C314" s="1">
        <f t="shared" si="24"/>
        <v>45925</v>
      </c>
      <c r="D314" s="8">
        <v>1</v>
      </c>
      <c r="E314" s="9">
        <v>0.23124999999999998</v>
      </c>
      <c r="G314" s="8">
        <v>60</v>
      </c>
      <c r="H314" s="8">
        <v>28</v>
      </c>
      <c r="I314">
        <v>1</v>
      </c>
    </row>
    <row r="315" spans="1:13">
      <c r="A315" s="4">
        <f t="shared" si="27"/>
        <v>2025</v>
      </c>
      <c r="B315" s="4">
        <f t="shared" si="28"/>
        <v>9</v>
      </c>
      <c r="C315" s="1">
        <f t="shared" si="24"/>
        <v>45926</v>
      </c>
      <c r="D315" s="8">
        <v>1</v>
      </c>
      <c r="E315" s="9">
        <v>0.28125</v>
      </c>
      <c r="I315">
        <v>1</v>
      </c>
    </row>
    <row r="316" spans="1:13">
      <c r="A316" s="4">
        <f t="shared" si="27"/>
        <v>2025</v>
      </c>
      <c r="B316" s="4">
        <f t="shared" si="28"/>
        <v>9</v>
      </c>
      <c r="C316" s="1">
        <f t="shared" si="24"/>
        <v>45927</v>
      </c>
      <c r="D316" s="8">
        <v>1</v>
      </c>
      <c r="E316" s="9">
        <v>0.28125</v>
      </c>
      <c r="I316">
        <v>0</v>
      </c>
    </row>
    <row r="317" spans="1:13">
      <c r="A317" s="4">
        <f t="shared" si="27"/>
        <v>2025</v>
      </c>
      <c r="B317" s="4">
        <f t="shared" si="28"/>
        <v>9</v>
      </c>
      <c r="C317" s="1">
        <f t="shared" si="24"/>
        <v>45928</v>
      </c>
      <c r="D317" s="8">
        <v>1</v>
      </c>
      <c r="E317" s="9">
        <v>0.30208333333333331</v>
      </c>
      <c r="G317" s="8">
        <v>45</v>
      </c>
      <c r="I317">
        <v>0</v>
      </c>
    </row>
    <row r="318" spans="1:13">
      <c r="A318" s="4">
        <f t="shared" si="27"/>
        <v>2025</v>
      </c>
      <c r="B318" s="4">
        <f t="shared" si="28"/>
        <v>9</v>
      </c>
      <c r="C318" s="1">
        <f t="shared" si="24"/>
        <v>45929</v>
      </c>
      <c r="D318">
        <v>0</v>
      </c>
      <c r="E318" s="9">
        <v>0.22916666666666666</v>
      </c>
      <c r="F318">
        <v>65</v>
      </c>
      <c r="G318" s="8">
        <v>55</v>
      </c>
      <c r="H318" s="8">
        <v>17</v>
      </c>
      <c r="I318">
        <v>1</v>
      </c>
      <c r="J318">
        <v>21</v>
      </c>
      <c r="K318" s="8">
        <v>1</v>
      </c>
      <c r="L318" s="8">
        <v>30</v>
      </c>
      <c r="M318" t="s">
        <v>64</v>
      </c>
    </row>
    <row r="319" spans="1:13">
      <c r="A319" s="4">
        <f t="shared" si="27"/>
        <v>2025</v>
      </c>
      <c r="B319" s="4">
        <f t="shared" si="28"/>
        <v>9</v>
      </c>
      <c r="C319" s="1">
        <f t="shared" si="24"/>
        <v>45930</v>
      </c>
      <c r="D319">
        <v>1</v>
      </c>
      <c r="E319" s="9">
        <v>0.23958333333333334</v>
      </c>
      <c r="F319">
        <v>60</v>
      </c>
      <c r="G319" s="8">
        <v>60</v>
      </c>
      <c r="H319" s="8">
        <v>29</v>
      </c>
      <c r="I319">
        <v>1</v>
      </c>
      <c r="J319">
        <v>21</v>
      </c>
      <c r="L319" s="8">
        <v>50</v>
      </c>
    </row>
    <row r="320" spans="1:13">
      <c r="A320" s="4">
        <f t="shared" si="27"/>
        <v>2025</v>
      </c>
      <c r="B320" s="4">
        <f t="shared" si="28"/>
        <v>10</v>
      </c>
      <c r="C320" s="1">
        <f t="shared" si="24"/>
        <v>45931</v>
      </c>
      <c r="D320">
        <v>1</v>
      </c>
      <c r="E320" s="9">
        <v>0.25</v>
      </c>
      <c r="F320">
        <v>25</v>
      </c>
      <c r="G320" s="8">
        <v>65</v>
      </c>
      <c r="I320">
        <v>1</v>
      </c>
      <c r="J320">
        <v>20</v>
      </c>
    </row>
    <row r="321" spans="1:13">
      <c r="A321" s="4">
        <f t="shared" si="27"/>
        <v>2025</v>
      </c>
      <c r="B321" s="4">
        <f t="shared" si="28"/>
        <v>10</v>
      </c>
      <c r="C321" s="1">
        <f t="shared" si="24"/>
        <v>45932</v>
      </c>
      <c r="D321">
        <v>1</v>
      </c>
      <c r="E321" s="9">
        <v>0.25</v>
      </c>
      <c r="F321">
        <v>0</v>
      </c>
      <c r="G321" s="8">
        <v>120</v>
      </c>
      <c r="I321">
        <v>1</v>
      </c>
      <c r="J321">
        <v>21</v>
      </c>
      <c r="L321" s="8">
        <v>50</v>
      </c>
    </row>
    <row r="322" spans="1:13">
      <c r="A322" s="4">
        <f t="shared" si="27"/>
        <v>2025</v>
      </c>
      <c r="B322" s="4">
        <f t="shared" si="28"/>
        <v>10</v>
      </c>
      <c r="C322" s="1">
        <f t="shared" si="24"/>
        <v>45933</v>
      </c>
      <c r="D322">
        <v>1</v>
      </c>
      <c r="E322" s="9">
        <v>0.21180555555555555</v>
      </c>
      <c r="F322">
        <v>120</v>
      </c>
      <c r="I322">
        <v>1</v>
      </c>
      <c r="J322">
        <v>21</v>
      </c>
      <c r="K322" s="8">
        <v>1</v>
      </c>
    </row>
    <row r="323" spans="1:13">
      <c r="A323" s="4">
        <f t="shared" si="27"/>
        <v>2025</v>
      </c>
      <c r="B323" s="4">
        <f t="shared" si="28"/>
        <v>10</v>
      </c>
      <c r="C323" s="1">
        <f t="shared" si="24"/>
        <v>45934</v>
      </c>
      <c r="D323">
        <v>1</v>
      </c>
      <c r="E323" s="9">
        <v>0.29166666666666669</v>
      </c>
      <c r="F323">
        <v>0</v>
      </c>
      <c r="I323">
        <v>1</v>
      </c>
    </row>
    <row r="324" spans="1:13">
      <c r="A324" s="4">
        <f t="shared" si="27"/>
        <v>2025</v>
      </c>
      <c r="B324" s="4">
        <f t="shared" si="28"/>
        <v>10</v>
      </c>
      <c r="C324" s="1">
        <f t="shared" si="24"/>
        <v>45935</v>
      </c>
      <c r="D324">
        <v>1</v>
      </c>
      <c r="E324" s="9">
        <v>0.29166666666666669</v>
      </c>
      <c r="F324">
        <v>30</v>
      </c>
      <c r="I324">
        <v>0</v>
      </c>
    </row>
    <row r="325" spans="1:13">
      <c r="A325" s="4">
        <f t="shared" ref="A325:A348" si="29">YEAR(C325)</f>
        <v>2025</v>
      </c>
      <c r="B325" s="4">
        <f t="shared" ref="B325:B348" si="30">MONTH(C325)</f>
        <v>10</v>
      </c>
      <c r="C325" s="1">
        <f t="shared" si="24"/>
        <v>45936</v>
      </c>
      <c r="D325">
        <v>1</v>
      </c>
      <c r="E325" s="9">
        <v>0.28472222222222221</v>
      </c>
      <c r="F325">
        <v>85</v>
      </c>
      <c r="I325">
        <v>1</v>
      </c>
      <c r="L325" s="8">
        <v>30</v>
      </c>
    </row>
    <row r="326" spans="1:13">
      <c r="A326" s="4">
        <f t="shared" si="29"/>
        <v>2025</v>
      </c>
      <c r="B326" s="4">
        <f t="shared" si="30"/>
        <v>10</v>
      </c>
      <c r="C326" s="1">
        <f t="shared" si="24"/>
        <v>45937</v>
      </c>
      <c r="D326">
        <v>1</v>
      </c>
      <c r="E326" s="9">
        <v>0.22222222222222221</v>
      </c>
      <c r="F326">
        <v>105</v>
      </c>
      <c r="I326">
        <v>1</v>
      </c>
      <c r="J326">
        <v>21</v>
      </c>
      <c r="L326" s="8">
        <v>30</v>
      </c>
    </row>
    <row r="327" spans="1:13">
      <c r="A327" s="4">
        <f t="shared" si="29"/>
        <v>2025</v>
      </c>
      <c r="B327" s="4">
        <f t="shared" si="30"/>
        <v>10</v>
      </c>
      <c r="C327" s="1">
        <f t="shared" si="24"/>
        <v>45938</v>
      </c>
      <c r="D327">
        <v>1</v>
      </c>
      <c r="E327" s="9">
        <v>0.21319444444444444</v>
      </c>
      <c r="F327">
        <v>120</v>
      </c>
      <c r="I327">
        <v>1</v>
      </c>
      <c r="J327">
        <v>22</v>
      </c>
      <c r="L327" s="8">
        <v>30</v>
      </c>
    </row>
    <row r="328" spans="1:13">
      <c r="A328" s="4">
        <f t="shared" si="29"/>
        <v>2025</v>
      </c>
      <c r="B328" s="4">
        <f t="shared" si="30"/>
        <v>10</v>
      </c>
      <c r="C328" s="1">
        <f t="shared" si="24"/>
        <v>45939</v>
      </c>
      <c r="D328">
        <v>1</v>
      </c>
      <c r="E328" s="9">
        <v>0.21319444444444444</v>
      </c>
      <c r="F328">
        <v>120</v>
      </c>
      <c r="I328">
        <v>1</v>
      </c>
      <c r="J328">
        <v>21</v>
      </c>
      <c r="L328" s="8">
        <v>20</v>
      </c>
    </row>
    <row r="329" spans="1:13">
      <c r="A329" s="4">
        <f t="shared" si="29"/>
        <v>2025</v>
      </c>
      <c r="B329" s="4">
        <f t="shared" si="30"/>
        <v>10</v>
      </c>
      <c r="C329" s="1">
        <f t="shared" ref="C329:C392" si="31">C328+1</f>
        <v>45940</v>
      </c>
      <c r="D329">
        <v>1</v>
      </c>
      <c r="E329" s="9">
        <v>0.21249999999999999</v>
      </c>
      <c r="F329">
        <v>85</v>
      </c>
      <c r="I329">
        <v>1</v>
      </c>
      <c r="L329" s="8">
        <v>30</v>
      </c>
    </row>
    <row r="330" spans="1:13">
      <c r="A330" s="4">
        <f t="shared" si="29"/>
        <v>2025</v>
      </c>
      <c r="B330" s="4">
        <f t="shared" si="30"/>
        <v>10</v>
      </c>
      <c r="C330" s="1">
        <f t="shared" si="31"/>
        <v>45941</v>
      </c>
      <c r="D330">
        <v>1</v>
      </c>
      <c r="E330" s="9">
        <v>0.22916666666666666</v>
      </c>
      <c r="F330">
        <v>95</v>
      </c>
      <c r="I330">
        <v>1</v>
      </c>
      <c r="J330">
        <v>21</v>
      </c>
    </row>
    <row r="331" spans="1:13">
      <c r="A331" s="4">
        <f t="shared" si="29"/>
        <v>2025</v>
      </c>
      <c r="B331" s="4">
        <f t="shared" si="30"/>
        <v>10</v>
      </c>
      <c r="C331" s="1">
        <f t="shared" si="31"/>
        <v>45942</v>
      </c>
      <c r="D331">
        <v>0</v>
      </c>
      <c r="E331" s="9">
        <v>0.21875</v>
      </c>
      <c r="F331">
        <v>120</v>
      </c>
      <c r="I331">
        <v>0</v>
      </c>
      <c r="M331" t="s">
        <v>65</v>
      </c>
    </row>
    <row r="332" spans="1:13">
      <c r="A332" s="4">
        <f t="shared" si="29"/>
        <v>2025</v>
      </c>
      <c r="B332" s="4">
        <f t="shared" si="30"/>
        <v>10</v>
      </c>
      <c r="C332" s="1">
        <f t="shared" si="31"/>
        <v>45943</v>
      </c>
      <c r="D332">
        <v>1</v>
      </c>
      <c r="E332" s="9">
        <v>0.30555555555555552</v>
      </c>
      <c r="F332">
        <v>60</v>
      </c>
      <c r="I332">
        <v>0</v>
      </c>
    </row>
    <row r="333" spans="1:13">
      <c r="A333" s="4">
        <f t="shared" si="29"/>
        <v>2025</v>
      </c>
      <c r="B333" s="4">
        <f t="shared" si="30"/>
        <v>10</v>
      </c>
      <c r="C333" s="1">
        <f t="shared" si="31"/>
        <v>45944</v>
      </c>
      <c r="D333">
        <v>1</v>
      </c>
      <c r="E333" s="9">
        <v>0.21249999999999999</v>
      </c>
      <c r="F333">
        <v>120</v>
      </c>
      <c r="I333">
        <v>1</v>
      </c>
    </row>
    <row r="334" spans="1:13">
      <c r="A334" s="4">
        <f t="shared" si="29"/>
        <v>2025</v>
      </c>
      <c r="B334" s="4">
        <f t="shared" si="30"/>
        <v>10</v>
      </c>
      <c r="C334" s="1">
        <f t="shared" si="31"/>
        <v>45945</v>
      </c>
      <c r="D334">
        <v>1</v>
      </c>
      <c r="E334" s="9">
        <v>0.22013888888888888</v>
      </c>
      <c r="F334">
        <v>80</v>
      </c>
      <c r="I334">
        <v>1</v>
      </c>
    </row>
    <row r="335" spans="1:13">
      <c r="A335" s="4">
        <f t="shared" si="29"/>
        <v>2025</v>
      </c>
      <c r="B335" s="4">
        <f t="shared" si="30"/>
        <v>10</v>
      </c>
      <c r="C335" s="1">
        <f t="shared" si="31"/>
        <v>45946</v>
      </c>
      <c r="D335">
        <v>1</v>
      </c>
      <c r="E335" s="9">
        <v>0.23958333333333334</v>
      </c>
      <c r="F335">
        <v>105</v>
      </c>
      <c r="I335">
        <v>0</v>
      </c>
      <c r="J335">
        <v>21</v>
      </c>
    </row>
    <row r="336" spans="1:13">
      <c r="A336" s="4">
        <f t="shared" si="29"/>
        <v>2025</v>
      </c>
      <c r="B336" s="4">
        <f t="shared" si="30"/>
        <v>10</v>
      </c>
      <c r="C336" s="1">
        <f t="shared" si="31"/>
        <v>45947</v>
      </c>
      <c r="D336">
        <v>1</v>
      </c>
      <c r="E336" s="9">
        <v>0.23611111111111113</v>
      </c>
      <c r="F336">
        <v>55</v>
      </c>
      <c r="I336">
        <v>1</v>
      </c>
      <c r="J336">
        <v>21</v>
      </c>
      <c r="M336" t="s">
        <v>66</v>
      </c>
    </row>
    <row r="337" spans="1:13">
      <c r="A337" s="4">
        <f t="shared" si="29"/>
        <v>2025</v>
      </c>
      <c r="B337" s="4">
        <f t="shared" si="30"/>
        <v>10</v>
      </c>
      <c r="C337" s="1">
        <f t="shared" si="31"/>
        <v>45948</v>
      </c>
      <c r="D337" s="8">
        <v>1</v>
      </c>
      <c r="E337" s="9">
        <v>0.21527777777777779</v>
      </c>
      <c r="F337">
        <v>110</v>
      </c>
      <c r="I337">
        <v>1</v>
      </c>
    </row>
    <row r="338" spans="1:13">
      <c r="A338" s="4">
        <f t="shared" si="29"/>
        <v>2025</v>
      </c>
      <c r="B338" s="4">
        <f t="shared" si="30"/>
        <v>10</v>
      </c>
      <c r="C338" s="1">
        <f t="shared" si="31"/>
        <v>45949</v>
      </c>
      <c r="D338" s="8">
        <v>1</v>
      </c>
      <c r="E338" s="9">
        <v>0.22777777777777777</v>
      </c>
      <c r="F338">
        <v>65</v>
      </c>
      <c r="I338">
        <v>0</v>
      </c>
    </row>
    <row r="339" spans="1:13">
      <c r="A339" s="4">
        <f t="shared" si="29"/>
        <v>2025</v>
      </c>
      <c r="B339" s="4">
        <f t="shared" si="30"/>
        <v>10</v>
      </c>
      <c r="C339" s="1">
        <f t="shared" si="31"/>
        <v>45950</v>
      </c>
      <c r="D339" s="8">
        <v>0</v>
      </c>
      <c r="E339" s="9">
        <v>0.28472222222222221</v>
      </c>
      <c r="F339">
        <v>75</v>
      </c>
      <c r="I339">
        <v>1</v>
      </c>
    </row>
    <row r="340" spans="1:13">
      <c r="A340" s="4">
        <f t="shared" si="29"/>
        <v>2025</v>
      </c>
      <c r="B340" s="4">
        <f t="shared" si="30"/>
        <v>10</v>
      </c>
      <c r="C340" s="1">
        <f t="shared" si="31"/>
        <v>45951</v>
      </c>
      <c r="D340" s="8">
        <v>1</v>
      </c>
      <c r="E340" s="9">
        <v>0.22222222222222221</v>
      </c>
      <c r="F340">
        <v>120</v>
      </c>
      <c r="I340">
        <v>0</v>
      </c>
      <c r="J340">
        <v>18</v>
      </c>
    </row>
    <row r="341" spans="1:13">
      <c r="A341" s="4">
        <f t="shared" si="29"/>
        <v>2025</v>
      </c>
      <c r="B341" s="4">
        <f t="shared" si="30"/>
        <v>10</v>
      </c>
      <c r="C341" s="1">
        <f t="shared" si="31"/>
        <v>45952</v>
      </c>
      <c r="D341" s="8">
        <v>1</v>
      </c>
      <c r="E341" s="9">
        <v>0.22916666666666666</v>
      </c>
      <c r="F341">
        <v>65</v>
      </c>
      <c r="G341" s="8">
        <v>30</v>
      </c>
      <c r="I341">
        <v>1</v>
      </c>
      <c r="J341">
        <v>21</v>
      </c>
      <c r="L341" s="8">
        <v>30</v>
      </c>
    </row>
    <row r="342" spans="1:13">
      <c r="A342" s="4">
        <f t="shared" si="29"/>
        <v>2025</v>
      </c>
      <c r="B342" s="4">
        <f t="shared" si="30"/>
        <v>10</v>
      </c>
      <c r="C342" s="1">
        <f t="shared" si="31"/>
        <v>45953</v>
      </c>
      <c r="D342" s="8">
        <v>1</v>
      </c>
      <c r="E342" s="9">
        <v>0.24027777777777778</v>
      </c>
      <c r="F342">
        <v>50</v>
      </c>
      <c r="I342" s="8">
        <v>1</v>
      </c>
    </row>
    <row r="343" spans="1:13">
      <c r="A343" s="4">
        <f t="shared" si="29"/>
        <v>2025</v>
      </c>
      <c r="B343" s="4">
        <f t="shared" si="30"/>
        <v>10</v>
      </c>
      <c r="C343" s="1">
        <f t="shared" si="31"/>
        <v>45954</v>
      </c>
      <c r="D343">
        <v>0</v>
      </c>
      <c r="E343" s="9">
        <v>0.28472222222222221</v>
      </c>
      <c r="F343">
        <v>0</v>
      </c>
      <c r="I343" s="8">
        <v>1</v>
      </c>
    </row>
    <row r="344" spans="1:13">
      <c r="A344" s="4">
        <f t="shared" si="29"/>
        <v>2025</v>
      </c>
      <c r="B344" s="4">
        <f t="shared" si="30"/>
        <v>10</v>
      </c>
      <c r="C344" s="1">
        <f t="shared" si="31"/>
        <v>45955</v>
      </c>
      <c r="D344">
        <v>0</v>
      </c>
      <c r="E344" s="9">
        <v>0.30208333333333331</v>
      </c>
      <c r="F344">
        <v>0</v>
      </c>
      <c r="I344" s="8">
        <v>1</v>
      </c>
    </row>
    <row r="345" spans="1:13">
      <c r="A345" s="4">
        <f t="shared" si="29"/>
        <v>2025</v>
      </c>
      <c r="B345" s="4">
        <f t="shared" si="30"/>
        <v>10</v>
      </c>
      <c r="C345" s="1">
        <f t="shared" si="31"/>
        <v>45956</v>
      </c>
      <c r="D345">
        <v>0</v>
      </c>
      <c r="E345" s="9">
        <v>0.32291666666666669</v>
      </c>
      <c r="F345">
        <v>0</v>
      </c>
      <c r="I345" s="8">
        <v>1</v>
      </c>
    </row>
    <row r="346" spans="1:13">
      <c r="A346" s="4">
        <f t="shared" si="29"/>
        <v>2025</v>
      </c>
      <c r="B346" s="4">
        <f t="shared" si="30"/>
        <v>10</v>
      </c>
      <c r="C346" s="1">
        <f t="shared" si="31"/>
        <v>45957</v>
      </c>
      <c r="D346">
        <v>1</v>
      </c>
      <c r="E346" s="9">
        <v>0.28472222222222221</v>
      </c>
      <c r="F346">
        <v>30</v>
      </c>
      <c r="I346" s="8">
        <v>1</v>
      </c>
    </row>
    <row r="347" spans="1:13">
      <c r="A347" s="4">
        <f t="shared" si="29"/>
        <v>2025</v>
      </c>
      <c r="B347" s="4">
        <f t="shared" si="30"/>
        <v>10</v>
      </c>
      <c r="C347" s="1">
        <f t="shared" si="31"/>
        <v>45958</v>
      </c>
      <c r="D347">
        <v>0</v>
      </c>
      <c r="E347" s="9">
        <v>0.20972222222222223</v>
      </c>
      <c r="F347">
        <v>90</v>
      </c>
      <c r="G347" s="8">
        <v>30</v>
      </c>
      <c r="I347" s="8">
        <v>1</v>
      </c>
    </row>
    <row r="348" spans="1:13">
      <c r="A348" s="4">
        <f t="shared" si="29"/>
        <v>2025</v>
      </c>
      <c r="B348" s="4">
        <f t="shared" si="30"/>
        <v>10</v>
      </c>
      <c r="C348" s="1">
        <f t="shared" si="31"/>
        <v>45959</v>
      </c>
      <c r="D348">
        <v>1</v>
      </c>
      <c r="E348" s="9">
        <v>0.23263888888888887</v>
      </c>
      <c r="F348">
        <v>60</v>
      </c>
      <c r="G348" s="8">
        <v>40</v>
      </c>
      <c r="I348">
        <v>0</v>
      </c>
    </row>
    <row r="349" spans="1:13">
      <c r="A349" s="4">
        <f t="shared" ref="A349:A412" si="32">YEAR(C349)</f>
        <v>2025</v>
      </c>
      <c r="B349" s="4">
        <f t="shared" ref="B349:B412" si="33">MONTH(C349)</f>
        <v>10</v>
      </c>
      <c r="C349" s="1">
        <f t="shared" si="31"/>
        <v>45960</v>
      </c>
      <c r="D349">
        <v>1</v>
      </c>
      <c r="E349" s="9">
        <v>0.28472222222222221</v>
      </c>
      <c r="F349">
        <v>60</v>
      </c>
      <c r="I349">
        <v>1</v>
      </c>
    </row>
    <row r="350" spans="1:13">
      <c r="A350" s="4">
        <f t="shared" si="32"/>
        <v>2025</v>
      </c>
      <c r="B350" s="4">
        <f t="shared" si="33"/>
        <v>10</v>
      </c>
      <c r="C350" s="1">
        <f t="shared" si="31"/>
        <v>45961</v>
      </c>
      <c r="D350">
        <v>0</v>
      </c>
      <c r="E350" s="9">
        <v>0.21041666666666667</v>
      </c>
      <c r="F350">
        <v>110</v>
      </c>
      <c r="I350">
        <v>0</v>
      </c>
      <c r="M350" t="s">
        <v>67</v>
      </c>
    </row>
    <row r="351" spans="1:13">
      <c r="A351" s="4">
        <f t="shared" si="32"/>
        <v>2025</v>
      </c>
      <c r="B351" s="4">
        <f t="shared" si="33"/>
        <v>11</v>
      </c>
      <c r="C351" s="1">
        <f t="shared" si="31"/>
        <v>45962</v>
      </c>
      <c r="D351">
        <v>1</v>
      </c>
      <c r="E351" s="9">
        <v>0.28472222222222221</v>
      </c>
      <c r="I351">
        <v>1</v>
      </c>
    </row>
    <row r="352" spans="1:13">
      <c r="A352" s="4">
        <f t="shared" si="32"/>
        <v>2025</v>
      </c>
      <c r="B352" s="4">
        <f t="shared" si="33"/>
        <v>11</v>
      </c>
      <c r="C352" s="1">
        <f t="shared" si="31"/>
        <v>45963</v>
      </c>
      <c r="D352">
        <v>1</v>
      </c>
      <c r="E352" s="9">
        <v>0.3125</v>
      </c>
      <c r="I352">
        <v>1</v>
      </c>
    </row>
    <row r="353" spans="1:13">
      <c r="A353" s="4">
        <f t="shared" si="32"/>
        <v>2025</v>
      </c>
      <c r="B353" s="4">
        <f t="shared" si="33"/>
        <v>11</v>
      </c>
      <c r="C353" s="1">
        <f t="shared" si="31"/>
        <v>45964</v>
      </c>
      <c r="D353">
        <v>0</v>
      </c>
      <c r="E353" s="9">
        <v>0.3125</v>
      </c>
      <c r="I353">
        <v>0</v>
      </c>
      <c r="J353">
        <v>1</v>
      </c>
    </row>
    <row r="354" spans="1:13">
      <c r="A354" s="4">
        <f t="shared" si="32"/>
        <v>2025</v>
      </c>
      <c r="B354" s="4">
        <f t="shared" si="33"/>
        <v>11</v>
      </c>
      <c r="C354" s="1">
        <f t="shared" si="31"/>
        <v>45965</v>
      </c>
      <c r="D354">
        <v>1</v>
      </c>
      <c r="E354" s="9">
        <v>0.21180555555555555</v>
      </c>
      <c r="F354">
        <v>120</v>
      </c>
      <c r="H354" s="8">
        <v>36</v>
      </c>
      <c r="I354">
        <v>1</v>
      </c>
      <c r="J354">
        <v>8</v>
      </c>
      <c r="L354" s="8" t="s">
        <v>74</v>
      </c>
    </row>
    <row r="355" spans="1:13">
      <c r="A355" s="4">
        <f t="shared" si="32"/>
        <v>2025</v>
      </c>
      <c r="B355" s="4">
        <f t="shared" si="33"/>
        <v>11</v>
      </c>
      <c r="C355" s="1">
        <f t="shared" si="31"/>
        <v>45966</v>
      </c>
      <c r="D355">
        <v>1</v>
      </c>
      <c r="E355" s="9">
        <v>0.22777777777777777</v>
      </c>
      <c r="F355">
        <v>90</v>
      </c>
      <c r="H355" s="8">
        <v>20</v>
      </c>
      <c r="I355">
        <v>0</v>
      </c>
      <c r="J355">
        <v>7</v>
      </c>
      <c r="L355" s="8" t="s">
        <v>75</v>
      </c>
    </row>
    <row r="356" spans="1:13">
      <c r="A356" s="4">
        <f t="shared" si="32"/>
        <v>2025</v>
      </c>
      <c r="B356" s="4">
        <f t="shared" si="33"/>
        <v>11</v>
      </c>
      <c r="C356" s="1">
        <f t="shared" si="31"/>
        <v>45967</v>
      </c>
      <c r="D356">
        <v>1</v>
      </c>
      <c r="E356" s="9">
        <v>0.22777777777777777</v>
      </c>
      <c r="F356">
        <v>65</v>
      </c>
      <c r="H356" s="8">
        <v>44</v>
      </c>
      <c r="I356">
        <v>0</v>
      </c>
      <c r="J356">
        <v>3</v>
      </c>
      <c r="L356" s="8" t="s">
        <v>76</v>
      </c>
    </row>
    <row r="357" spans="1:13">
      <c r="A357" s="4">
        <f t="shared" si="32"/>
        <v>2025</v>
      </c>
      <c r="B357" s="4">
        <f t="shared" si="33"/>
        <v>11</v>
      </c>
      <c r="C357" s="1">
        <f t="shared" si="31"/>
        <v>45968</v>
      </c>
      <c r="D357">
        <v>1</v>
      </c>
      <c r="E357" s="9">
        <v>0.28472222222222221</v>
      </c>
      <c r="F357">
        <v>0</v>
      </c>
      <c r="I357">
        <v>1</v>
      </c>
      <c r="J357">
        <v>5</v>
      </c>
    </row>
    <row r="358" spans="1:13">
      <c r="A358" s="4">
        <f t="shared" si="32"/>
        <v>2025</v>
      </c>
      <c r="B358" s="4">
        <f t="shared" si="33"/>
        <v>11</v>
      </c>
      <c r="C358" s="1">
        <f t="shared" si="31"/>
        <v>45969</v>
      </c>
      <c r="D358">
        <v>1</v>
      </c>
      <c r="E358" s="9">
        <v>0.3125</v>
      </c>
      <c r="F358">
        <v>0</v>
      </c>
      <c r="I358">
        <v>1</v>
      </c>
      <c r="J358">
        <v>0</v>
      </c>
    </row>
    <row r="359" spans="1:13">
      <c r="A359" s="4">
        <f t="shared" si="32"/>
        <v>2025</v>
      </c>
      <c r="B359" s="4">
        <f t="shared" si="33"/>
        <v>11</v>
      </c>
      <c r="C359" s="1">
        <f t="shared" si="31"/>
        <v>45970</v>
      </c>
      <c r="D359">
        <v>1</v>
      </c>
      <c r="E359" s="9">
        <v>0.22083333333333333</v>
      </c>
      <c r="F359">
        <v>120</v>
      </c>
      <c r="H359" s="8">
        <v>24</v>
      </c>
      <c r="I359">
        <v>0</v>
      </c>
      <c r="J359">
        <v>4</v>
      </c>
      <c r="L359" s="8" t="s">
        <v>80</v>
      </c>
    </row>
    <row r="360" spans="1:13">
      <c r="A360" s="4">
        <f t="shared" si="32"/>
        <v>2025</v>
      </c>
      <c r="B360" s="4">
        <f t="shared" si="33"/>
        <v>11</v>
      </c>
      <c r="C360" s="1">
        <f t="shared" si="31"/>
        <v>45971</v>
      </c>
      <c r="D360">
        <v>1</v>
      </c>
      <c r="E360" s="9">
        <v>0.21736111111111112</v>
      </c>
      <c r="F360">
        <v>75</v>
      </c>
      <c r="H360" s="8">
        <v>18</v>
      </c>
      <c r="I360">
        <v>1</v>
      </c>
      <c r="J360">
        <v>5</v>
      </c>
    </row>
    <row r="361" spans="1:13">
      <c r="A361" s="4">
        <f t="shared" si="32"/>
        <v>2025</v>
      </c>
      <c r="B361" s="4">
        <f t="shared" si="33"/>
        <v>11</v>
      </c>
      <c r="C361" s="1">
        <f t="shared" si="31"/>
        <v>45972</v>
      </c>
      <c r="D361">
        <v>1</v>
      </c>
      <c r="E361" s="9">
        <v>0.23958333333333334</v>
      </c>
      <c r="F361">
        <v>50</v>
      </c>
      <c r="H361" s="8">
        <v>29</v>
      </c>
      <c r="I361">
        <v>1</v>
      </c>
      <c r="J361">
        <v>1</v>
      </c>
    </row>
    <row r="362" spans="1:13">
      <c r="A362" s="4">
        <f t="shared" si="32"/>
        <v>2025</v>
      </c>
      <c r="B362" s="4">
        <f t="shared" si="33"/>
        <v>11</v>
      </c>
      <c r="C362" s="1">
        <f t="shared" si="31"/>
        <v>45973</v>
      </c>
      <c r="D362">
        <v>1</v>
      </c>
      <c r="E362" s="9">
        <v>0.22013888888888888</v>
      </c>
      <c r="F362">
        <v>75</v>
      </c>
      <c r="H362" s="8">
        <v>9</v>
      </c>
      <c r="I362">
        <v>1</v>
      </c>
      <c r="J362">
        <v>4</v>
      </c>
      <c r="L362" s="8" t="s">
        <v>81</v>
      </c>
      <c r="M362" t="s">
        <v>82</v>
      </c>
    </row>
    <row r="363" spans="1:13">
      <c r="A363" s="4">
        <f t="shared" si="32"/>
        <v>2025</v>
      </c>
      <c r="B363" s="4">
        <f t="shared" si="33"/>
        <v>11</v>
      </c>
      <c r="C363" s="1">
        <f t="shared" si="31"/>
        <v>45974</v>
      </c>
      <c r="D363">
        <v>1</v>
      </c>
      <c r="E363" s="9">
        <v>0.22152777777777777</v>
      </c>
      <c r="F363">
        <v>114</v>
      </c>
      <c r="H363" s="8">
        <v>20</v>
      </c>
      <c r="I363">
        <v>0</v>
      </c>
      <c r="J363">
        <v>5</v>
      </c>
      <c r="L363" s="8" t="s">
        <v>83</v>
      </c>
    </row>
    <row r="364" spans="1:13">
      <c r="A364" s="4">
        <f t="shared" si="32"/>
        <v>2025</v>
      </c>
      <c r="B364" s="4">
        <f t="shared" si="33"/>
        <v>11</v>
      </c>
      <c r="C364" s="1">
        <f t="shared" si="31"/>
        <v>45975</v>
      </c>
      <c r="D364">
        <v>1</v>
      </c>
      <c r="E364" s="9">
        <v>0.24097222222222223</v>
      </c>
      <c r="F364">
        <v>45</v>
      </c>
      <c r="I364">
        <v>1</v>
      </c>
      <c r="J364">
        <v>0</v>
      </c>
    </row>
    <row r="365" spans="1:13">
      <c r="A365" s="4">
        <f t="shared" si="32"/>
        <v>2025</v>
      </c>
      <c r="B365" s="4">
        <f t="shared" si="33"/>
        <v>11</v>
      </c>
      <c r="C365" s="1">
        <f t="shared" si="31"/>
        <v>45976</v>
      </c>
      <c r="D365" s="8">
        <v>1</v>
      </c>
      <c r="F365">
        <v>0</v>
      </c>
      <c r="I365">
        <v>1</v>
      </c>
      <c r="J365">
        <v>0</v>
      </c>
    </row>
    <row r="366" spans="1:13">
      <c r="A366" s="4">
        <f t="shared" si="32"/>
        <v>2025</v>
      </c>
      <c r="B366" s="4">
        <f t="shared" si="33"/>
        <v>11</v>
      </c>
      <c r="C366" s="1">
        <f t="shared" si="31"/>
        <v>45977</v>
      </c>
      <c r="D366" s="8">
        <v>1</v>
      </c>
      <c r="F366">
        <v>0</v>
      </c>
      <c r="I366">
        <v>1</v>
      </c>
      <c r="J366">
        <v>0</v>
      </c>
    </row>
    <row r="367" spans="1:13">
      <c r="A367" s="4">
        <f t="shared" si="32"/>
        <v>2025</v>
      </c>
      <c r="B367" s="4">
        <f t="shared" si="33"/>
        <v>11</v>
      </c>
      <c r="C367" s="1">
        <f t="shared" si="31"/>
        <v>45978</v>
      </c>
      <c r="D367" s="8">
        <v>1</v>
      </c>
      <c r="F367">
        <v>0</v>
      </c>
      <c r="I367">
        <v>0</v>
      </c>
      <c r="J367">
        <v>0</v>
      </c>
    </row>
    <row r="368" spans="1:13">
      <c r="A368" s="4">
        <f t="shared" si="32"/>
        <v>2025</v>
      </c>
      <c r="B368" s="4">
        <f t="shared" si="33"/>
        <v>11</v>
      </c>
      <c r="C368" s="1">
        <f t="shared" si="31"/>
        <v>45979</v>
      </c>
      <c r="D368">
        <v>0</v>
      </c>
      <c r="E368" s="9">
        <v>0.20972222222222223</v>
      </c>
      <c r="F368">
        <v>120</v>
      </c>
      <c r="H368" s="8">
        <v>20</v>
      </c>
      <c r="I368">
        <v>0</v>
      </c>
      <c r="J368">
        <v>3</v>
      </c>
      <c r="L368" s="8" t="s">
        <v>85</v>
      </c>
      <c r="M368" t="s">
        <v>84</v>
      </c>
    </row>
    <row r="369" spans="1:12">
      <c r="A369" s="4">
        <f t="shared" si="32"/>
        <v>2025</v>
      </c>
      <c r="B369" s="4">
        <f t="shared" si="33"/>
        <v>11</v>
      </c>
      <c r="C369" s="1">
        <f t="shared" si="31"/>
        <v>45980</v>
      </c>
      <c r="D369">
        <v>1</v>
      </c>
      <c r="E369" s="9">
        <v>0.22916666666666666</v>
      </c>
      <c r="F369">
        <v>90</v>
      </c>
      <c r="H369" s="8">
        <v>23</v>
      </c>
      <c r="I369">
        <v>1</v>
      </c>
      <c r="J369">
        <v>7</v>
      </c>
      <c r="L369" s="8" t="s">
        <v>86</v>
      </c>
    </row>
    <row r="370" spans="1:12">
      <c r="A370" s="4">
        <f t="shared" si="32"/>
        <v>2025</v>
      </c>
      <c r="B370" s="4">
        <f t="shared" si="33"/>
        <v>11</v>
      </c>
      <c r="C370" s="1">
        <f t="shared" si="31"/>
        <v>45981</v>
      </c>
      <c r="D370">
        <v>1</v>
      </c>
      <c r="E370" s="9">
        <v>0.21805555555555556</v>
      </c>
      <c r="F370">
        <v>80</v>
      </c>
      <c r="H370" s="8">
        <v>17</v>
      </c>
      <c r="I370">
        <v>1</v>
      </c>
      <c r="J370">
        <v>2</v>
      </c>
    </row>
    <row r="371" spans="1:12">
      <c r="A371" s="4">
        <f t="shared" si="32"/>
        <v>2025</v>
      </c>
      <c r="B371" s="4">
        <f t="shared" si="33"/>
        <v>11</v>
      </c>
      <c r="C371" s="1">
        <f t="shared" si="31"/>
        <v>45982</v>
      </c>
      <c r="D371">
        <v>1</v>
      </c>
      <c r="E371" s="9">
        <v>0.22500000000000001</v>
      </c>
      <c r="F371">
        <v>70</v>
      </c>
      <c r="H371" s="8">
        <v>25</v>
      </c>
      <c r="I371">
        <v>1</v>
      </c>
      <c r="J371">
        <v>5</v>
      </c>
    </row>
    <row r="372" spans="1:12">
      <c r="A372" s="4">
        <f t="shared" si="32"/>
        <v>2025</v>
      </c>
      <c r="B372" s="4">
        <f t="shared" si="33"/>
        <v>11</v>
      </c>
      <c r="C372" s="1">
        <f t="shared" si="31"/>
        <v>45983</v>
      </c>
      <c r="D372">
        <v>0</v>
      </c>
      <c r="E372" s="9">
        <v>0.30208333333333331</v>
      </c>
      <c r="F372">
        <v>0</v>
      </c>
      <c r="I372">
        <v>1</v>
      </c>
      <c r="J372">
        <v>0</v>
      </c>
    </row>
    <row r="373" spans="1:12">
      <c r="A373" s="4">
        <f t="shared" si="32"/>
        <v>2025</v>
      </c>
      <c r="B373" s="4">
        <f t="shared" si="33"/>
        <v>11</v>
      </c>
      <c r="C373" s="1">
        <f t="shared" si="31"/>
        <v>45984</v>
      </c>
      <c r="D373">
        <v>1</v>
      </c>
      <c r="E373" s="9">
        <v>0.3125</v>
      </c>
      <c r="F373">
        <v>30</v>
      </c>
      <c r="I373">
        <v>0</v>
      </c>
      <c r="J373">
        <v>0</v>
      </c>
    </row>
    <row r="374" spans="1:12">
      <c r="A374" s="4">
        <f t="shared" si="32"/>
        <v>2025</v>
      </c>
      <c r="B374" s="4">
        <f t="shared" si="33"/>
        <v>11</v>
      </c>
      <c r="C374" s="1">
        <f t="shared" si="31"/>
        <v>45985</v>
      </c>
      <c r="D374">
        <v>0</v>
      </c>
      <c r="E374" s="9">
        <v>0.32291666666666669</v>
      </c>
      <c r="F374">
        <v>0</v>
      </c>
      <c r="I374">
        <v>1</v>
      </c>
      <c r="J374">
        <v>0</v>
      </c>
    </row>
    <row r="375" spans="1:12">
      <c r="A375" s="4">
        <f t="shared" si="32"/>
        <v>2025</v>
      </c>
      <c r="B375" s="4">
        <f t="shared" si="33"/>
        <v>11</v>
      </c>
      <c r="C375" s="1">
        <f t="shared" si="31"/>
        <v>45986</v>
      </c>
      <c r="D375">
        <v>1</v>
      </c>
      <c r="E375" s="9">
        <v>0.20972222222222223</v>
      </c>
      <c r="F375">
        <v>122</v>
      </c>
      <c r="G375" s="8">
        <f>SUM($H$354:$H375)</f>
        <v>307</v>
      </c>
      <c r="H375" s="8">
        <v>22</v>
      </c>
      <c r="I375">
        <v>1</v>
      </c>
      <c r="J375">
        <v>4</v>
      </c>
    </row>
    <row r="376" spans="1:12">
      <c r="A376" s="4">
        <f t="shared" si="32"/>
        <v>2025</v>
      </c>
      <c r="B376" s="4">
        <f t="shared" si="33"/>
        <v>11</v>
      </c>
      <c r="C376" s="1">
        <f t="shared" si="31"/>
        <v>45987</v>
      </c>
      <c r="D376">
        <v>1</v>
      </c>
      <c r="E376" s="9">
        <v>0.20972222222222223</v>
      </c>
      <c r="F376">
        <v>100</v>
      </c>
      <c r="G376" s="8">
        <f>SUM($H$354:$H376)</f>
        <v>327</v>
      </c>
      <c r="H376" s="8">
        <v>20</v>
      </c>
      <c r="I376">
        <v>1</v>
      </c>
      <c r="J376">
        <v>4</v>
      </c>
    </row>
    <row r="377" spans="1:12">
      <c r="A377" s="4">
        <f t="shared" si="32"/>
        <v>2025</v>
      </c>
      <c r="B377" s="4">
        <f t="shared" si="33"/>
        <v>11</v>
      </c>
      <c r="C377" s="1">
        <f t="shared" si="31"/>
        <v>45988</v>
      </c>
      <c r="D377">
        <v>1</v>
      </c>
      <c r="E377" s="9">
        <v>0.24583333333333335</v>
      </c>
      <c r="F377">
        <v>120</v>
      </c>
      <c r="G377" s="8">
        <f>SUM($H$354:$H377)</f>
        <v>350</v>
      </c>
      <c r="H377" s="8">
        <v>23</v>
      </c>
      <c r="I377">
        <v>1</v>
      </c>
      <c r="J377">
        <v>5</v>
      </c>
    </row>
    <row r="378" spans="1:12">
      <c r="A378" s="4">
        <f t="shared" si="32"/>
        <v>2025</v>
      </c>
      <c r="B378" s="4">
        <f t="shared" si="33"/>
        <v>11</v>
      </c>
      <c r="C378" s="1">
        <f t="shared" si="31"/>
        <v>45989</v>
      </c>
      <c r="D378">
        <v>1</v>
      </c>
      <c r="E378" s="9">
        <v>0.22222222222222221</v>
      </c>
      <c r="F378">
        <v>120</v>
      </c>
      <c r="G378" s="8">
        <f>SUM($H$354:$H378)</f>
        <v>372</v>
      </c>
      <c r="H378" s="8">
        <v>22</v>
      </c>
      <c r="I378">
        <v>1</v>
      </c>
      <c r="J378">
        <v>5</v>
      </c>
    </row>
    <row r="379" spans="1:12">
      <c r="A379" s="4">
        <f t="shared" si="32"/>
        <v>2025</v>
      </c>
      <c r="B379" s="4">
        <f t="shared" si="33"/>
        <v>11</v>
      </c>
      <c r="C379" s="1">
        <f t="shared" si="31"/>
        <v>45990</v>
      </c>
      <c r="D379">
        <v>1</v>
      </c>
      <c r="E379" s="9">
        <v>0.21875</v>
      </c>
      <c r="F379">
        <v>95</v>
      </c>
      <c r="G379" s="8">
        <f>SUM($H$354:$H379)</f>
        <v>394</v>
      </c>
      <c r="H379" s="8">
        <v>22</v>
      </c>
      <c r="I379">
        <v>0</v>
      </c>
      <c r="J379">
        <v>0</v>
      </c>
    </row>
    <row r="380" spans="1:12">
      <c r="A380" s="4">
        <f t="shared" si="32"/>
        <v>2025</v>
      </c>
      <c r="B380" s="4">
        <f t="shared" si="33"/>
        <v>11</v>
      </c>
      <c r="C380" s="1">
        <f t="shared" si="31"/>
        <v>45991</v>
      </c>
      <c r="D380">
        <v>1</v>
      </c>
      <c r="E380" s="9">
        <v>0.20972222222222223</v>
      </c>
      <c r="F380">
        <v>70</v>
      </c>
      <c r="G380" s="8">
        <f>SUM($H$354:$H380)</f>
        <v>399</v>
      </c>
      <c r="H380" s="8">
        <v>5</v>
      </c>
      <c r="I380">
        <v>1</v>
      </c>
      <c r="J380">
        <v>0</v>
      </c>
    </row>
    <row r="381" spans="1:12">
      <c r="A381" s="4">
        <f t="shared" si="32"/>
        <v>2025</v>
      </c>
      <c r="B381" s="4">
        <f t="shared" si="33"/>
        <v>12</v>
      </c>
      <c r="C381" s="1">
        <f t="shared" si="31"/>
        <v>45992</v>
      </c>
      <c r="D381">
        <v>0</v>
      </c>
      <c r="E381" s="9">
        <v>0.28472222222222221</v>
      </c>
      <c r="F381">
        <v>20</v>
      </c>
      <c r="G381" s="8">
        <f>SUM($H$354:$H381)</f>
        <v>399</v>
      </c>
      <c r="H381" s="8">
        <v>0</v>
      </c>
      <c r="I381">
        <v>0</v>
      </c>
      <c r="J381">
        <v>1</v>
      </c>
      <c r="L381" s="8" t="s">
        <v>88</v>
      </c>
    </row>
    <row r="382" spans="1:12">
      <c r="A382" s="4">
        <f t="shared" si="32"/>
        <v>2025</v>
      </c>
      <c r="B382" s="4">
        <f t="shared" si="33"/>
        <v>12</v>
      </c>
      <c r="C382" s="1">
        <f t="shared" si="31"/>
        <v>45993</v>
      </c>
      <c r="D382">
        <v>1</v>
      </c>
      <c r="E382" s="9">
        <v>0.20972222222222223</v>
      </c>
      <c r="F382">
        <v>120</v>
      </c>
      <c r="G382" s="8">
        <f>SUM($H$354:$H382)</f>
        <v>426</v>
      </c>
      <c r="H382" s="8">
        <v>27</v>
      </c>
      <c r="I382">
        <v>1</v>
      </c>
      <c r="J382">
        <v>3</v>
      </c>
    </row>
    <row r="383" spans="1:12">
      <c r="A383" s="4">
        <f t="shared" si="32"/>
        <v>2025</v>
      </c>
      <c r="B383" s="4">
        <f t="shared" si="33"/>
        <v>12</v>
      </c>
      <c r="C383" s="1">
        <f t="shared" si="31"/>
        <v>45994</v>
      </c>
      <c r="D383">
        <v>0</v>
      </c>
      <c r="E383" s="9">
        <v>0.20972222222222223</v>
      </c>
      <c r="F383">
        <v>120</v>
      </c>
      <c r="G383" s="8">
        <f>SUM($H$354:$H383)</f>
        <v>462</v>
      </c>
      <c r="H383" s="8">
        <v>36</v>
      </c>
      <c r="I383">
        <v>1</v>
      </c>
      <c r="J383">
        <v>8</v>
      </c>
      <c r="L383" s="8" t="s">
        <v>89</v>
      </c>
    </row>
    <row r="384" spans="1:12">
      <c r="A384" s="4">
        <f t="shared" si="32"/>
        <v>2025</v>
      </c>
      <c r="B384" s="4">
        <f t="shared" si="33"/>
        <v>12</v>
      </c>
      <c r="C384" s="1">
        <f t="shared" si="31"/>
        <v>45995</v>
      </c>
      <c r="D384">
        <v>1</v>
      </c>
      <c r="E384" s="9">
        <v>0.21736111111111112</v>
      </c>
      <c r="F384">
        <v>80</v>
      </c>
      <c r="G384" s="8">
        <f>SUM($H$354:$H384)</f>
        <v>487</v>
      </c>
      <c r="H384" s="8">
        <v>25</v>
      </c>
      <c r="I384">
        <v>1</v>
      </c>
      <c r="J384">
        <v>2</v>
      </c>
    </row>
    <row r="385" spans="1:12">
      <c r="A385" s="4">
        <f t="shared" si="32"/>
        <v>2025</v>
      </c>
      <c r="B385" s="4">
        <f t="shared" si="33"/>
        <v>12</v>
      </c>
      <c r="C385" s="1">
        <f t="shared" si="31"/>
        <v>45996</v>
      </c>
      <c r="D385">
        <v>1</v>
      </c>
      <c r="E385" s="9">
        <v>0.21180555555555555</v>
      </c>
      <c r="F385">
        <v>120</v>
      </c>
      <c r="G385" s="8">
        <f>SUM($H$354:$H385)</f>
        <v>513</v>
      </c>
      <c r="H385" s="8">
        <v>26</v>
      </c>
      <c r="I385">
        <v>0</v>
      </c>
      <c r="J385">
        <v>0</v>
      </c>
    </row>
    <row r="386" spans="1:12">
      <c r="A386" s="4">
        <f t="shared" si="32"/>
        <v>2025</v>
      </c>
      <c r="B386" s="4">
        <f t="shared" si="33"/>
        <v>12</v>
      </c>
      <c r="C386" s="1">
        <f t="shared" si="31"/>
        <v>45997</v>
      </c>
      <c r="D386">
        <v>0</v>
      </c>
      <c r="E386" s="9">
        <v>0.25347222222222221</v>
      </c>
      <c r="F386">
        <v>40</v>
      </c>
      <c r="G386" s="8">
        <f>SUM($H$354:$H386)</f>
        <v>523</v>
      </c>
      <c r="H386" s="8">
        <v>10</v>
      </c>
      <c r="I386">
        <v>1</v>
      </c>
      <c r="J386">
        <v>0</v>
      </c>
      <c r="L386" s="8" t="s">
        <v>90</v>
      </c>
    </row>
    <row r="387" spans="1:12">
      <c r="A387" s="4">
        <f t="shared" si="32"/>
        <v>2025</v>
      </c>
      <c r="B387" s="4">
        <f t="shared" si="33"/>
        <v>12</v>
      </c>
      <c r="C387" s="1">
        <f t="shared" si="31"/>
        <v>45998</v>
      </c>
      <c r="D387">
        <v>0</v>
      </c>
      <c r="E387" s="9">
        <v>0.3125</v>
      </c>
      <c r="F387">
        <v>0</v>
      </c>
      <c r="I387">
        <v>1</v>
      </c>
      <c r="J387">
        <v>0</v>
      </c>
      <c r="L387" s="8" t="s">
        <v>91</v>
      </c>
    </row>
    <row r="388" spans="1:12">
      <c r="A388" s="4">
        <f t="shared" si="32"/>
        <v>2025</v>
      </c>
      <c r="B388" s="4">
        <f t="shared" si="33"/>
        <v>12</v>
      </c>
      <c r="C388" s="1">
        <f t="shared" si="31"/>
        <v>45999</v>
      </c>
      <c r="D388">
        <v>1</v>
      </c>
      <c r="E388" s="9">
        <v>0.28472222222222221</v>
      </c>
      <c r="F388">
        <v>125</v>
      </c>
      <c r="G388" s="8">
        <f>SUM($H$354:$H388)</f>
        <v>553</v>
      </c>
      <c r="H388" s="8">
        <v>30</v>
      </c>
      <c r="I388">
        <v>0</v>
      </c>
      <c r="J388">
        <v>5</v>
      </c>
    </row>
    <row r="389" spans="1:12">
      <c r="A389" s="4">
        <f t="shared" si="32"/>
        <v>2025</v>
      </c>
      <c r="B389" s="4">
        <f t="shared" si="33"/>
        <v>12</v>
      </c>
      <c r="C389" s="1">
        <f t="shared" si="31"/>
        <v>46000</v>
      </c>
      <c r="D389">
        <v>1</v>
      </c>
      <c r="E389" s="9">
        <v>0.21041666666666667</v>
      </c>
      <c r="F389">
        <v>120</v>
      </c>
      <c r="G389" s="8">
        <f>SUM($H$354:$H389)</f>
        <v>586</v>
      </c>
      <c r="H389" s="8">
        <v>33</v>
      </c>
      <c r="I389">
        <v>1</v>
      </c>
      <c r="J389">
        <v>8</v>
      </c>
    </row>
    <row r="390" spans="1:12">
      <c r="A390" s="4">
        <f t="shared" si="32"/>
        <v>2025</v>
      </c>
      <c r="B390" s="4">
        <f t="shared" si="33"/>
        <v>12</v>
      </c>
      <c r="C390" s="1">
        <f t="shared" si="31"/>
        <v>46001</v>
      </c>
      <c r="D390">
        <v>1</v>
      </c>
      <c r="E390" s="9">
        <v>0.24791666666666667</v>
      </c>
      <c r="F390">
        <v>130</v>
      </c>
      <c r="G390" s="8">
        <f>SUM($H$354:$H390)</f>
        <v>621</v>
      </c>
      <c r="H390" s="8">
        <v>35</v>
      </c>
      <c r="I390">
        <v>1</v>
      </c>
      <c r="J390">
        <v>8</v>
      </c>
    </row>
    <row r="391" spans="1:12">
      <c r="A391" s="4">
        <f t="shared" si="32"/>
        <v>2025</v>
      </c>
      <c r="B391" s="4">
        <f t="shared" si="33"/>
        <v>12</v>
      </c>
      <c r="C391" s="1">
        <f t="shared" si="31"/>
        <v>46002</v>
      </c>
      <c r="D391">
        <v>1</v>
      </c>
      <c r="E391" s="9">
        <v>0.21597222222222223</v>
      </c>
      <c r="F391">
        <v>80</v>
      </c>
      <c r="G391" s="8">
        <f>SUM($H$354:$H391)</f>
        <v>627</v>
      </c>
      <c r="H391" s="8">
        <v>6</v>
      </c>
      <c r="I391">
        <v>1</v>
      </c>
      <c r="J391">
        <v>4</v>
      </c>
    </row>
    <row r="392" spans="1:12">
      <c r="A392" s="4">
        <f t="shared" si="32"/>
        <v>2025</v>
      </c>
      <c r="B392" s="4">
        <f t="shared" si="33"/>
        <v>12</v>
      </c>
      <c r="C392" s="1">
        <f t="shared" si="31"/>
        <v>46003</v>
      </c>
      <c r="D392">
        <v>1</v>
      </c>
      <c r="E392" s="9">
        <v>0.23055555555555554</v>
      </c>
      <c r="F392">
        <v>120</v>
      </c>
      <c r="G392" s="8">
        <f>SUM($H$354:$H392)</f>
        <v>654</v>
      </c>
      <c r="H392" s="8">
        <v>27</v>
      </c>
      <c r="I392">
        <v>0</v>
      </c>
      <c r="J392">
        <v>1</v>
      </c>
    </row>
    <row r="393" spans="1:12">
      <c r="A393" s="4">
        <f t="shared" si="32"/>
        <v>2025</v>
      </c>
      <c r="B393" s="4">
        <f t="shared" si="33"/>
        <v>12</v>
      </c>
      <c r="C393" s="1">
        <f t="shared" ref="C393:C456" si="34">C392+1</f>
        <v>46004</v>
      </c>
      <c r="D393">
        <v>1</v>
      </c>
      <c r="E393" s="9">
        <v>0.23958333333333334</v>
      </c>
      <c r="F393">
        <v>120</v>
      </c>
      <c r="G393" s="8">
        <f>SUM($H$354:$H393)</f>
        <v>682</v>
      </c>
      <c r="H393" s="8">
        <v>28</v>
      </c>
      <c r="I393">
        <v>1</v>
      </c>
      <c r="J393">
        <v>0</v>
      </c>
    </row>
    <row r="394" spans="1:12">
      <c r="A394" s="4">
        <f t="shared" si="32"/>
        <v>2025</v>
      </c>
      <c r="B394" s="4">
        <f t="shared" si="33"/>
        <v>12</v>
      </c>
      <c r="C394" s="1">
        <f t="shared" si="34"/>
        <v>46005</v>
      </c>
      <c r="D394" s="8">
        <v>1</v>
      </c>
      <c r="E394" s="9">
        <v>0.23819444444444446</v>
      </c>
      <c r="F394">
        <v>120</v>
      </c>
      <c r="G394" s="8">
        <f>SUM($H$354:$H394)</f>
        <v>691</v>
      </c>
      <c r="H394" s="8">
        <v>9</v>
      </c>
      <c r="I394">
        <v>0</v>
      </c>
      <c r="J394">
        <v>0</v>
      </c>
    </row>
    <row r="395" spans="1:12">
      <c r="A395" s="4">
        <f t="shared" si="32"/>
        <v>2025</v>
      </c>
      <c r="B395" s="4">
        <f t="shared" si="33"/>
        <v>12</v>
      </c>
      <c r="C395" s="1">
        <f t="shared" si="34"/>
        <v>46006</v>
      </c>
      <c r="D395">
        <v>1</v>
      </c>
      <c r="E395" s="9">
        <v>0.23958333333333334</v>
      </c>
      <c r="F395">
        <v>120</v>
      </c>
      <c r="G395" s="8">
        <f>SUM($H$354:$H395)</f>
        <v>716</v>
      </c>
      <c r="H395" s="8">
        <v>25</v>
      </c>
      <c r="I395">
        <v>1</v>
      </c>
      <c r="J395">
        <v>3</v>
      </c>
    </row>
    <row r="396" spans="1:12">
      <c r="A396" s="4">
        <f t="shared" si="32"/>
        <v>2025</v>
      </c>
      <c r="B396" s="4">
        <f t="shared" si="33"/>
        <v>12</v>
      </c>
      <c r="C396" s="1">
        <f t="shared" si="34"/>
        <v>46007</v>
      </c>
      <c r="D396">
        <v>1</v>
      </c>
      <c r="E396" s="9">
        <v>0.24861111111111112</v>
      </c>
      <c r="F396">
        <v>120</v>
      </c>
      <c r="G396" s="8">
        <f>SUM($H$354:$H396)</f>
        <v>739</v>
      </c>
      <c r="H396" s="8">
        <v>23</v>
      </c>
      <c r="I396">
        <v>0</v>
      </c>
      <c r="J396">
        <v>6</v>
      </c>
    </row>
    <row r="397" spans="1:12">
      <c r="A397" s="4">
        <f t="shared" si="32"/>
        <v>2025</v>
      </c>
      <c r="B397" s="4">
        <f t="shared" si="33"/>
        <v>12</v>
      </c>
      <c r="C397" s="1">
        <f t="shared" si="34"/>
        <v>46008</v>
      </c>
      <c r="D397">
        <v>1</v>
      </c>
      <c r="E397" s="9">
        <v>0.23680555555555557</v>
      </c>
      <c r="F397">
        <v>120</v>
      </c>
      <c r="G397" s="8">
        <f>SUM($H$354:$H397)</f>
        <v>757</v>
      </c>
      <c r="H397" s="8">
        <v>18</v>
      </c>
      <c r="I397">
        <v>1</v>
      </c>
      <c r="J397">
        <v>4</v>
      </c>
    </row>
    <row r="398" spans="1:12">
      <c r="A398" s="4">
        <f t="shared" si="32"/>
        <v>2025</v>
      </c>
      <c r="B398" s="4">
        <f t="shared" si="33"/>
        <v>12</v>
      </c>
      <c r="C398" s="1">
        <f t="shared" si="34"/>
        <v>46009</v>
      </c>
      <c r="D398">
        <v>1</v>
      </c>
      <c r="E398" s="9">
        <v>0.21388888888888891</v>
      </c>
      <c r="F398">
        <v>87</v>
      </c>
      <c r="G398" s="8">
        <f>SUM($H$354:$H398)</f>
        <v>782</v>
      </c>
      <c r="H398" s="8">
        <v>25</v>
      </c>
      <c r="I398">
        <v>1</v>
      </c>
      <c r="J398">
        <v>0</v>
      </c>
    </row>
    <row r="399" spans="1:12">
      <c r="A399" s="4">
        <f t="shared" si="32"/>
        <v>2025</v>
      </c>
      <c r="B399" s="4">
        <f t="shared" si="33"/>
        <v>12</v>
      </c>
      <c r="C399" s="1">
        <f t="shared" si="34"/>
        <v>46010</v>
      </c>
      <c r="D399">
        <v>1</v>
      </c>
      <c r="E399" s="9">
        <v>0.24374999999999999</v>
      </c>
      <c r="F399">
        <v>100</v>
      </c>
      <c r="G399" s="8">
        <f>SUM($H$354:$H399)</f>
        <v>798</v>
      </c>
      <c r="H399" s="8">
        <v>16</v>
      </c>
      <c r="I399">
        <v>1</v>
      </c>
      <c r="J399">
        <v>1</v>
      </c>
    </row>
    <row r="400" spans="1:12">
      <c r="A400" s="4">
        <f t="shared" si="32"/>
        <v>2025</v>
      </c>
      <c r="B400" s="4">
        <f t="shared" si="33"/>
        <v>12</v>
      </c>
      <c r="C400" s="1">
        <f t="shared" si="34"/>
        <v>46011</v>
      </c>
      <c r="D400">
        <v>1</v>
      </c>
      <c r="E400" s="9">
        <v>0.23680555555555557</v>
      </c>
      <c r="F400">
        <v>113</v>
      </c>
      <c r="G400" s="8">
        <f>SUM($H$354:$H400)</f>
        <v>821</v>
      </c>
      <c r="H400" s="8">
        <v>23</v>
      </c>
      <c r="I400">
        <v>1</v>
      </c>
      <c r="J400">
        <v>0</v>
      </c>
    </row>
    <row r="401" spans="1:11">
      <c r="A401" s="4">
        <f t="shared" si="32"/>
        <v>2025</v>
      </c>
      <c r="B401" s="4">
        <f t="shared" si="33"/>
        <v>12</v>
      </c>
      <c r="C401" s="1">
        <f t="shared" si="34"/>
        <v>46012</v>
      </c>
      <c r="D401">
        <v>1</v>
      </c>
      <c r="E401" s="9">
        <v>0.23472222222222219</v>
      </c>
      <c r="F401">
        <v>70</v>
      </c>
      <c r="G401" s="8">
        <f>SUM($H$354:$H401)</f>
        <v>836</v>
      </c>
      <c r="H401" s="8">
        <v>15</v>
      </c>
      <c r="I401">
        <v>0</v>
      </c>
      <c r="J401">
        <v>0</v>
      </c>
    </row>
    <row r="402" spans="1:11">
      <c r="A402" s="4">
        <f t="shared" si="32"/>
        <v>2025</v>
      </c>
      <c r="B402" s="4">
        <f t="shared" si="33"/>
        <v>12</v>
      </c>
      <c r="C402" s="1">
        <f t="shared" si="34"/>
        <v>46013</v>
      </c>
      <c r="D402">
        <v>1</v>
      </c>
      <c r="E402" s="9">
        <v>0.22083333333333333</v>
      </c>
      <c r="F402">
        <v>100</v>
      </c>
      <c r="G402" s="8">
        <f>SUM($H$354:$H402)</f>
        <v>863</v>
      </c>
      <c r="H402" s="8">
        <v>27</v>
      </c>
      <c r="I402">
        <v>0</v>
      </c>
      <c r="J402">
        <v>2</v>
      </c>
    </row>
    <row r="403" spans="1:11">
      <c r="A403" s="4">
        <f t="shared" si="32"/>
        <v>2025</v>
      </c>
      <c r="B403" s="4">
        <f t="shared" si="33"/>
        <v>12</v>
      </c>
      <c r="C403" s="1">
        <f t="shared" si="34"/>
        <v>46014</v>
      </c>
      <c r="D403">
        <v>1</v>
      </c>
      <c r="E403" s="9">
        <v>0.28472222222222221</v>
      </c>
      <c r="F403">
        <v>100</v>
      </c>
      <c r="G403" s="8">
        <f>SUM($H$354:$H403)</f>
        <v>874</v>
      </c>
      <c r="H403" s="8">
        <v>11</v>
      </c>
      <c r="I403">
        <v>1</v>
      </c>
      <c r="J403">
        <v>7</v>
      </c>
    </row>
    <row r="404" spans="1:11">
      <c r="A404" s="4">
        <f t="shared" si="32"/>
        <v>2025</v>
      </c>
      <c r="B404" s="4">
        <f t="shared" si="33"/>
        <v>12</v>
      </c>
      <c r="C404" s="1">
        <f t="shared" si="34"/>
        <v>46015</v>
      </c>
      <c r="D404">
        <v>1</v>
      </c>
      <c r="E404" s="9">
        <v>0.24444444444444446</v>
      </c>
      <c r="F404">
        <v>80</v>
      </c>
      <c r="G404" s="8">
        <f>SUM($H$354:$H404)</f>
        <v>884</v>
      </c>
      <c r="H404" s="8">
        <v>10</v>
      </c>
      <c r="I404">
        <v>1</v>
      </c>
      <c r="J404">
        <v>7</v>
      </c>
    </row>
    <row r="405" spans="1:11">
      <c r="A405" s="4">
        <f t="shared" si="32"/>
        <v>2025</v>
      </c>
      <c r="B405" s="4">
        <f t="shared" si="33"/>
        <v>12</v>
      </c>
      <c r="C405" s="1">
        <f t="shared" si="34"/>
        <v>46016</v>
      </c>
      <c r="D405">
        <v>1</v>
      </c>
      <c r="E405" s="9">
        <v>0.23958333333333334</v>
      </c>
      <c r="F405">
        <v>105</v>
      </c>
      <c r="G405" s="8">
        <f>SUM($H$354:$H405)</f>
        <v>912</v>
      </c>
      <c r="H405" s="8">
        <v>28</v>
      </c>
      <c r="I405">
        <v>0</v>
      </c>
      <c r="J405">
        <v>7</v>
      </c>
    </row>
    <row r="406" spans="1:11">
      <c r="A406" s="4">
        <f t="shared" si="32"/>
        <v>2025</v>
      </c>
      <c r="B406" s="4">
        <f t="shared" si="33"/>
        <v>12</v>
      </c>
      <c r="C406" s="1">
        <f t="shared" si="34"/>
        <v>46017</v>
      </c>
      <c r="D406">
        <v>0</v>
      </c>
      <c r="E406" s="9">
        <v>0.28472222222222221</v>
      </c>
      <c r="F406">
        <v>0</v>
      </c>
      <c r="G406" s="8">
        <f>SUM($H$354:$H406)</f>
        <v>912</v>
      </c>
      <c r="H406" s="8">
        <v>0</v>
      </c>
      <c r="I406">
        <v>1</v>
      </c>
      <c r="J406">
        <v>4</v>
      </c>
    </row>
    <row r="407" spans="1:11">
      <c r="A407" s="4">
        <f t="shared" si="32"/>
        <v>2025</v>
      </c>
      <c r="B407" s="4">
        <f t="shared" si="33"/>
        <v>12</v>
      </c>
      <c r="C407" s="1">
        <f t="shared" si="34"/>
        <v>46018</v>
      </c>
      <c r="D407">
        <v>1</v>
      </c>
      <c r="E407" s="9">
        <v>0.21249999999999999</v>
      </c>
      <c r="F407">
        <v>120</v>
      </c>
      <c r="G407" s="8">
        <f>SUM($H$354:$H407)</f>
        <v>922</v>
      </c>
      <c r="H407" s="8">
        <v>10</v>
      </c>
      <c r="I407">
        <v>1</v>
      </c>
      <c r="J407">
        <v>0</v>
      </c>
    </row>
    <row r="408" spans="1:11">
      <c r="A408" s="4">
        <f t="shared" si="32"/>
        <v>2025</v>
      </c>
      <c r="B408" s="4">
        <f t="shared" si="33"/>
        <v>12</v>
      </c>
      <c r="C408" s="1">
        <f t="shared" si="34"/>
        <v>46019</v>
      </c>
      <c r="D408">
        <v>1</v>
      </c>
      <c r="E408" s="9">
        <v>0.23333333333333331</v>
      </c>
      <c r="F408">
        <v>70</v>
      </c>
      <c r="G408" s="8">
        <f>SUM($H$354:$H408)</f>
        <v>941</v>
      </c>
      <c r="H408" s="8">
        <v>19</v>
      </c>
      <c r="I408">
        <v>1</v>
      </c>
      <c r="J408">
        <v>0</v>
      </c>
    </row>
    <row r="409" spans="1:11">
      <c r="A409" s="4">
        <f t="shared" si="32"/>
        <v>2025</v>
      </c>
      <c r="B409" s="4">
        <f t="shared" si="33"/>
        <v>12</v>
      </c>
      <c r="C409" s="1">
        <f t="shared" si="34"/>
        <v>46020</v>
      </c>
      <c r="D409">
        <v>1</v>
      </c>
      <c r="E409" s="9">
        <v>0.2638888888888889</v>
      </c>
      <c r="F409">
        <v>90</v>
      </c>
      <c r="G409" s="8">
        <f>SUM($H$354:$H409)</f>
        <v>944</v>
      </c>
      <c r="H409" s="8">
        <v>3</v>
      </c>
      <c r="I409">
        <v>1</v>
      </c>
      <c r="J409">
        <v>0</v>
      </c>
    </row>
    <row r="410" spans="1:11">
      <c r="A410" s="4">
        <f t="shared" si="32"/>
        <v>2025</v>
      </c>
      <c r="B410" s="4">
        <f t="shared" si="33"/>
        <v>12</v>
      </c>
      <c r="C410" s="1">
        <f t="shared" si="34"/>
        <v>46021</v>
      </c>
      <c r="D410">
        <v>1</v>
      </c>
      <c r="E410" s="9">
        <v>0.25555555555555559</v>
      </c>
      <c r="F410">
        <v>70</v>
      </c>
      <c r="G410" s="8">
        <f>SUM($H$354:$H410)</f>
        <v>954</v>
      </c>
      <c r="H410" s="8">
        <v>10</v>
      </c>
      <c r="I410">
        <v>1</v>
      </c>
      <c r="J410">
        <v>0</v>
      </c>
    </row>
    <row r="411" spans="1:11">
      <c r="A411" s="4">
        <f t="shared" si="32"/>
        <v>2025</v>
      </c>
      <c r="B411" s="4">
        <f t="shared" si="33"/>
        <v>12</v>
      </c>
      <c r="C411" s="1">
        <f t="shared" si="34"/>
        <v>46022</v>
      </c>
      <c r="D411">
        <v>1</v>
      </c>
      <c r="E411" s="9">
        <v>0.21736111111111112</v>
      </c>
      <c r="F411">
        <v>95</v>
      </c>
      <c r="G411" s="8">
        <f>SUM($H$354:$H411)</f>
        <v>977</v>
      </c>
      <c r="H411" s="8">
        <v>23</v>
      </c>
      <c r="I411">
        <v>1</v>
      </c>
      <c r="J411">
        <v>0</v>
      </c>
    </row>
    <row r="412" spans="1:11">
      <c r="A412" s="4">
        <f t="shared" si="32"/>
        <v>2026</v>
      </c>
      <c r="B412" s="4">
        <f t="shared" si="33"/>
        <v>1</v>
      </c>
      <c r="C412" s="1">
        <f t="shared" si="34"/>
        <v>46023</v>
      </c>
      <c r="D412">
        <v>1</v>
      </c>
      <c r="E412" s="9">
        <v>0.29166666666666669</v>
      </c>
      <c r="F412">
        <v>0</v>
      </c>
      <c r="G412" s="8">
        <f>SUM($H$354:$H412)</f>
        <v>977</v>
      </c>
      <c r="H412" s="8">
        <v>0</v>
      </c>
      <c r="I412">
        <v>1</v>
      </c>
      <c r="J412">
        <v>0</v>
      </c>
      <c r="K412" s="8" t="s">
        <v>92</v>
      </c>
    </row>
    <row r="413" spans="1:11">
      <c r="A413" s="4">
        <f t="shared" ref="A413:A435" si="35">YEAR(C413)</f>
        <v>2026</v>
      </c>
      <c r="B413" s="4">
        <f t="shared" ref="B413:B435" si="36">MONTH(C413)</f>
        <v>1</v>
      </c>
      <c r="C413" s="1">
        <f t="shared" si="34"/>
        <v>46024</v>
      </c>
      <c r="D413">
        <v>1</v>
      </c>
      <c r="E413" s="9">
        <v>0.21041666666666667</v>
      </c>
      <c r="F413">
        <v>105</v>
      </c>
      <c r="G413" s="8">
        <f>SUM($H$354:$H413)</f>
        <v>997</v>
      </c>
      <c r="H413" s="8">
        <v>20</v>
      </c>
      <c r="I413">
        <v>1</v>
      </c>
      <c r="J413">
        <v>0</v>
      </c>
    </row>
    <row r="414" spans="1:11">
      <c r="A414" s="4">
        <f t="shared" si="35"/>
        <v>2026</v>
      </c>
      <c r="B414" s="4">
        <f t="shared" si="36"/>
        <v>1</v>
      </c>
      <c r="C414" s="1">
        <f t="shared" si="34"/>
        <v>46025</v>
      </c>
      <c r="D414">
        <v>1</v>
      </c>
      <c r="E414" s="9">
        <v>0.2590277777777778</v>
      </c>
      <c r="F414">
        <v>110</v>
      </c>
      <c r="G414" s="8">
        <f>SUM($H$354:$H414)</f>
        <v>1024</v>
      </c>
      <c r="H414" s="8">
        <v>27</v>
      </c>
      <c r="I414">
        <v>0</v>
      </c>
      <c r="J414">
        <v>0</v>
      </c>
    </row>
    <row r="415" spans="1:11">
      <c r="A415" s="4">
        <f t="shared" si="35"/>
        <v>2026</v>
      </c>
      <c r="B415" s="4">
        <f t="shared" si="36"/>
        <v>1</v>
      </c>
      <c r="C415" s="1">
        <f t="shared" si="34"/>
        <v>46026</v>
      </c>
      <c r="D415">
        <v>1</v>
      </c>
      <c r="E415" s="9">
        <v>0.23958333333333334</v>
      </c>
      <c r="F415">
        <v>120</v>
      </c>
      <c r="G415" s="8">
        <f>SUM($H$354:$H415)</f>
        <v>1047</v>
      </c>
      <c r="H415" s="8">
        <v>23</v>
      </c>
      <c r="I415">
        <v>1</v>
      </c>
      <c r="J415">
        <v>0</v>
      </c>
    </row>
    <row r="416" spans="1:11">
      <c r="A416" s="4">
        <f t="shared" si="35"/>
        <v>2026</v>
      </c>
      <c r="B416" s="4">
        <f t="shared" si="36"/>
        <v>1</v>
      </c>
      <c r="C416" s="1">
        <f t="shared" si="34"/>
        <v>46027</v>
      </c>
      <c r="D416">
        <v>1</v>
      </c>
      <c r="E416" s="9">
        <v>0.21319444444444444</v>
      </c>
      <c r="F416">
        <v>120</v>
      </c>
      <c r="G416" s="8">
        <f>SUM($H$354:$H416)</f>
        <v>1068</v>
      </c>
      <c r="H416" s="8">
        <v>21</v>
      </c>
      <c r="I416">
        <v>1</v>
      </c>
      <c r="J416">
        <v>5</v>
      </c>
      <c r="K416" s="8" t="s">
        <v>93</v>
      </c>
    </row>
    <row r="417" spans="1:11">
      <c r="A417" s="4">
        <f t="shared" si="35"/>
        <v>2026</v>
      </c>
      <c r="B417" s="4">
        <f t="shared" si="36"/>
        <v>1</v>
      </c>
      <c r="C417" s="1">
        <f t="shared" si="34"/>
        <v>46028</v>
      </c>
      <c r="D417">
        <v>1</v>
      </c>
      <c r="E417" s="9">
        <v>0.20833333333333334</v>
      </c>
      <c r="F417">
        <v>120</v>
      </c>
      <c r="G417" s="8">
        <f>SUM($H$354:$H417)</f>
        <v>1097</v>
      </c>
      <c r="H417" s="8">
        <v>29</v>
      </c>
      <c r="I417">
        <v>1</v>
      </c>
      <c r="J417">
        <v>0</v>
      </c>
    </row>
    <row r="418" spans="1:11">
      <c r="A418" s="4">
        <f t="shared" si="35"/>
        <v>2026</v>
      </c>
      <c r="B418" s="4">
        <f t="shared" si="36"/>
        <v>1</v>
      </c>
      <c r="C418" s="1">
        <f t="shared" si="34"/>
        <v>46029</v>
      </c>
      <c r="D418">
        <v>1</v>
      </c>
      <c r="E418" s="9">
        <v>0.21111111111111111</v>
      </c>
      <c r="F418">
        <v>115</v>
      </c>
      <c r="G418" s="8">
        <f>SUM($H$354:$H418)</f>
        <v>1123</v>
      </c>
      <c r="H418" s="8">
        <v>26</v>
      </c>
      <c r="I418">
        <v>1</v>
      </c>
      <c r="J418">
        <v>4</v>
      </c>
    </row>
    <row r="419" spans="1:11">
      <c r="A419" s="4">
        <f t="shared" si="35"/>
        <v>2026</v>
      </c>
      <c r="B419" s="4">
        <f t="shared" si="36"/>
        <v>1</v>
      </c>
      <c r="C419" s="1">
        <f t="shared" si="34"/>
        <v>46030</v>
      </c>
      <c r="D419">
        <v>1</v>
      </c>
      <c r="E419" s="9">
        <v>0.22777777777777777</v>
      </c>
      <c r="F419">
        <v>120</v>
      </c>
      <c r="G419" s="8">
        <f>SUM($H$354:$H419)</f>
        <v>1154</v>
      </c>
      <c r="H419" s="8">
        <v>31</v>
      </c>
      <c r="I419">
        <v>0</v>
      </c>
      <c r="J419">
        <v>2</v>
      </c>
    </row>
    <row r="420" spans="1:11">
      <c r="A420" s="4">
        <f t="shared" si="35"/>
        <v>2026</v>
      </c>
      <c r="B420" s="4">
        <f t="shared" si="36"/>
        <v>1</v>
      </c>
      <c r="C420" s="1">
        <f t="shared" si="34"/>
        <v>46031</v>
      </c>
      <c r="D420">
        <v>0</v>
      </c>
      <c r="E420" s="9">
        <v>0.21111111111111111</v>
      </c>
      <c r="F420">
        <v>120</v>
      </c>
      <c r="G420" s="8">
        <f>SUM($H$354:$H420)</f>
        <v>1177</v>
      </c>
      <c r="H420" s="8">
        <v>23</v>
      </c>
      <c r="I420">
        <v>1</v>
      </c>
      <c r="J420">
        <v>4</v>
      </c>
      <c r="K420" s="8" t="s">
        <v>94</v>
      </c>
    </row>
    <row r="421" spans="1:11">
      <c r="A421" s="4">
        <f t="shared" si="35"/>
        <v>2026</v>
      </c>
      <c r="B421" s="4">
        <f t="shared" si="36"/>
        <v>1</v>
      </c>
      <c r="C421" s="1">
        <f t="shared" si="34"/>
        <v>46032</v>
      </c>
      <c r="D421">
        <v>1</v>
      </c>
      <c r="E421" s="9">
        <v>0.24166666666666667</v>
      </c>
      <c r="F421">
        <v>120</v>
      </c>
      <c r="G421" s="8">
        <f>SUM($H$354:$H421)</f>
        <v>1204</v>
      </c>
      <c r="H421" s="8">
        <v>27</v>
      </c>
      <c r="I421">
        <v>0</v>
      </c>
      <c r="J421">
        <v>1</v>
      </c>
    </row>
    <row r="422" spans="1:11">
      <c r="A422" s="4">
        <f t="shared" si="35"/>
        <v>2026</v>
      </c>
      <c r="B422" s="4">
        <f t="shared" si="36"/>
        <v>1</v>
      </c>
      <c r="C422" s="1">
        <f t="shared" si="34"/>
        <v>46033</v>
      </c>
      <c r="D422">
        <v>1</v>
      </c>
      <c r="E422" s="9">
        <v>0.22916666666666666</v>
      </c>
      <c r="F422">
        <v>105</v>
      </c>
      <c r="G422" s="8">
        <f>SUM($H$354:$H422)</f>
        <v>1230</v>
      </c>
      <c r="H422" s="8">
        <v>26</v>
      </c>
      <c r="I422">
        <v>1</v>
      </c>
      <c r="J422">
        <v>0</v>
      </c>
    </row>
    <row r="423" spans="1:11">
      <c r="A423" s="4">
        <f t="shared" si="35"/>
        <v>2026</v>
      </c>
      <c r="B423" s="4">
        <f t="shared" si="36"/>
        <v>1</v>
      </c>
      <c r="C423" s="1">
        <f t="shared" si="34"/>
        <v>46034</v>
      </c>
      <c r="D423">
        <v>1</v>
      </c>
      <c r="E423" s="9">
        <v>0.21249999999999999</v>
      </c>
      <c r="F423">
        <v>130</v>
      </c>
      <c r="G423" s="8">
        <f>SUM($H$354:$H423)</f>
        <v>1252</v>
      </c>
      <c r="H423" s="8">
        <v>22</v>
      </c>
      <c r="I423">
        <v>0</v>
      </c>
      <c r="J423">
        <v>0</v>
      </c>
    </row>
    <row r="424" spans="1:11">
      <c r="A424" s="4">
        <f t="shared" si="35"/>
        <v>2026</v>
      </c>
      <c r="B424" s="4">
        <f t="shared" si="36"/>
        <v>1</v>
      </c>
      <c r="C424" s="1">
        <f t="shared" si="34"/>
        <v>46035</v>
      </c>
      <c r="D424">
        <v>1</v>
      </c>
      <c r="E424" s="9">
        <v>0.21041666666666667</v>
      </c>
      <c r="F424">
        <v>120</v>
      </c>
      <c r="G424" s="8">
        <f>SUM($H$354:$H424)</f>
        <v>1280</v>
      </c>
      <c r="H424" s="8">
        <v>28</v>
      </c>
      <c r="I424">
        <v>1</v>
      </c>
      <c r="J424">
        <v>1</v>
      </c>
    </row>
    <row r="425" spans="1:11">
      <c r="A425" s="4">
        <f t="shared" si="35"/>
        <v>2026</v>
      </c>
      <c r="B425" s="4">
        <f t="shared" si="36"/>
        <v>1</v>
      </c>
      <c r="C425" s="1">
        <f t="shared" si="34"/>
        <v>46036</v>
      </c>
      <c r="D425">
        <v>0</v>
      </c>
      <c r="E425" s="9">
        <v>0.21388888888888891</v>
      </c>
      <c r="F425">
        <v>120</v>
      </c>
      <c r="G425" s="8">
        <f>SUM($H$354:$H425)</f>
        <v>1301</v>
      </c>
      <c r="H425" s="8">
        <v>21</v>
      </c>
      <c r="I425">
        <v>0</v>
      </c>
      <c r="J425">
        <v>3</v>
      </c>
      <c r="K425" s="8" t="s">
        <v>95</v>
      </c>
    </row>
    <row r="426" spans="1:11">
      <c r="A426" s="4">
        <f t="shared" si="35"/>
        <v>2026</v>
      </c>
      <c r="B426" s="4">
        <f t="shared" si="36"/>
        <v>1</v>
      </c>
      <c r="C426" s="1">
        <f t="shared" si="34"/>
        <v>46037</v>
      </c>
      <c r="D426">
        <v>1</v>
      </c>
      <c r="E426" s="9">
        <v>0.22013888888888888</v>
      </c>
      <c r="F426">
        <v>120</v>
      </c>
      <c r="G426" s="8">
        <f>SUM($H$354:$H426)</f>
        <v>1322</v>
      </c>
      <c r="H426" s="8">
        <v>21</v>
      </c>
      <c r="I426">
        <v>1</v>
      </c>
      <c r="J426">
        <v>3</v>
      </c>
    </row>
    <row r="427" spans="1:11">
      <c r="A427" s="4">
        <f t="shared" si="35"/>
        <v>2026</v>
      </c>
      <c r="B427" s="4">
        <f t="shared" si="36"/>
        <v>1</v>
      </c>
      <c r="C427" s="1">
        <f t="shared" si="34"/>
        <v>46038</v>
      </c>
      <c r="D427">
        <v>1</v>
      </c>
      <c r="E427" s="9">
        <v>0.22291666666666665</v>
      </c>
      <c r="F427">
        <v>90</v>
      </c>
      <c r="G427" s="8">
        <f>SUM($H$354:$H427)</f>
        <v>1342</v>
      </c>
      <c r="H427" s="8">
        <v>20</v>
      </c>
      <c r="I427">
        <v>1</v>
      </c>
      <c r="J427">
        <v>4</v>
      </c>
      <c r="K427" s="8" t="s">
        <v>96</v>
      </c>
    </row>
    <row r="428" spans="1:11">
      <c r="A428" s="4">
        <f t="shared" si="35"/>
        <v>2026</v>
      </c>
      <c r="B428" s="4">
        <f t="shared" si="36"/>
        <v>1</v>
      </c>
      <c r="C428" s="1">
        <f t="shared" si="34"/>
        <v>46039</v>
      </c>
      <c r="D428">
        <v>1</v>
      </c>
      <c r="E428" s="9">
        <v>0.21666666666666667</v>
      </c>
      <c r="F428">
        <v>95</v>
      </c>
      <c r="G428" s="8">
        <f>SUM($H$354:$H428)</f>
        <v>1362</v>
      </c>
      <c r="H428" s="8">
        <v>20</v>
      </c>
      <c r="I428">
        <v>0</v>
      </c>
      <c r="J428">
        <v>1</v>
      </c>
      <c r="K428" s="8" t="s">
        <v>97</v>
      </c>
    </row>
    <row r="429" spans="1:11">
      <c r="A429" s="4">
        <f t="shared" si="35"/>
        <v>2026</v>
      </c>
      <c r="B429" s="4">
        <f t="shared" si="36"/>
        <v>1</v>
      </c>
      <c r="C429" s="1">
        <f t="shared" si="34"/>
        <v>46040</v>
      </c>
      <c r="D429" s="8">
        <v>1</v>
      </c>
      <c r="E429" s="9">
        <v>0.21111111111111111</v>
      </c>
      <c r="F429">
        <v>120</v>
      </c>
      <c r="G429" s="8">
        <f>SUM($H$354:$H429)</f>
        <v>1381</v>
      </c>
      <c r="H429" s="8">
        <v>19</v>
      </c>
      <c r="I429">
        <v>1</v>
      </c>
      <c r="J429">
        <v>0</v>
      </c>
    </row>
    <row r="430" spans="1:11">
      <c r="A430" s="4">
        <f t="shared" si="35"/>
        <v>2026</v>
      </c>
      <c r="B430" s="4">
        <f t="shared" si="36"/>
        <v>1</v>
      </c>
      <c r="C430" s="1">
        <f t="shared" si="34"/>
        <v>46041</v>
      </c>
      <c r="D430" s="8">
        <v>1</v>
      </c>
      <c r="E430" s="9">
        <v>0.21736111111111112</v>
      </c>
      <c r="F430">
        <v>90</v>
      </c>
      <c r="G430" s="8">
        <f>SUM($H$354:$H430)</f>
        <v>1406</v>
      </c>
      <c r="H430" s="8">
        <v>25</v>
      </c>
      <c r="I430">
        <v>1</v>
      </c>
      <c r="J430">
        <v>4</v>
      </c>
    </row>
    <row r="431" spans="1:11">
      <c r="A431" s="4">
        <f t="shared" si="35"/>
        <v>2026</v>
      </c>
      <c r="B431" s="4">
        <f t="shared" si="36"/>
        <v>1</v>
      </c>
      <c r="C431" s="1">
        <f t="shared" si="34"/>
        <v>46042</v>
      </c>
      <c r="D431" s="8">
        <v>1</v>
      </c>
      <c r="E431" s="9">
        <v>0.21666666666666667</v>
      </c>
      <c r="F431">
        <v>110</v>
      </c>
      <c r="G431" s="8">
        <f>SUM($H$354:$H431)</f>
        <v>1425</v>
      </c>
      <c r="H431" s="8">
        <v>19</v>
      </c>
      <c r="I431">
        <v>0</v>
      </c>
      <c r="J431" s="8">
        <v>3</v>
      </c>
    </row>
    <row r="432" spans="1:11">
      <c r="A432" s="4">
        <f t="shared" si="35"/>
        <v>2026</v>
      </c>
      <c r="B432" s="4">
        <f t="shared" si="36"/>
        <v>1</v>
      </c>
      <c r="C432" s="1">
        <f t="shared" si="34"/>
        <v>46043</v>
      </c>
      <c r="D432" s="8">
        <v>1</v>
      </c>
      <c r="E432" s="9">
        <v>0.23194444444444443</v>
      </c>
      <c r="F432">
        <v>90</v>
      </c>
      <c r="G432" s="8">
        <f>SUM($H$354:$H432)</f>
        <v>1445</v>
      </c>
      <c r="H432" s="8">
        <v>20</v>
      </c>
      <c r="I432">
        <v>1</v>
      </c>
      <c r="J432">
        <v>5</v>
      </c>
    </row>
    <row r="433" spans="1:10">
      <c r="A433" s="4">
        <f t="shared" si="35"/>
        <v>2026</v>
      </c>
      <c r="B433" s="4">
        <f t="shared" si="36"/>
        <v>1</v>
      </c>
      <c r="C433" s="1">
        <f t="shared" si="34"/>
        <v>46044</v>
      </c>
      <c r="D433" s="8">
        <v>1</v>
      </c>
      <c r="E433" s="9">
        <v>0.21111111111111111</v>
      </c>
      <c r="F433">
        <v>120</v>
      </c>
      <c r="G433" s="8">
        <f>SUM($H$354:$H433)</f>
        <v>1470</v>
      </c>
      <c r="H433" s="8">
        <v>25</v>
      </c>
      <c r="I433">
        <v>1</v>
      </c>
      <c r="J433">
        <v>5</v>
      </c>
    </row>
    <row r="434" spans="1:10">
      <c r="A434" s="4">
        <f t="shared" si="35"/>
        <v>2026</v>
      </c>
      <c r="B434" s="4">
        <f t="shared" si="36"/>
        <v>1</v>
      </c>
      <c r="C434" s="1">
        <f t="shared" si="34"/>
        <v>46045</v>
      </c>
      <c r="D434" s="8">
        <v>1</v>
      </c>
      <c r="E434" s="9">
        <v>0.21111111111111111</v>
      </c>
      <c r="F434">
        <v>120</v>
      </c>
      <c r="G434" s="8">
        <f>SUM($H$354:$H434)</f>
        <v>1490</v>
      </c>
      <c r="H434" s="8">
        <v>20</v>
      </c>
      <c r="I434">
        <v>0</v>
      </c>
      <c r="J434">
        <v>5</v>
      </c>
    </row>
    <row r="435" spans="1:10">
      <c r="A435" s="4">
        <f t="shared" si="35"/>
        <v>2026</v>
      </c>
      <c r="B435" s="4">
        <f t="shared" si="36"/>
        <v>1</v>
      </c>
      <c r="C435" s="1">
        <f t="shared" si="34"/>
        <v>46046</v>
      </c>
      <c r="D435" s="8">
        <v>1</v>
      </c>
      <c r="E435" s="9">
        <v>0.22361111111111109</v>
      </c>
      <c r="F435">
        <v>10</v>
      </c>
      <c r="G435" s="8">
        <f>SUM($H$354:$H435)</f>
        <v>1490</v>
      </c>
      <c r="H435" s="8">
        <v>0</v>
      </c>
      <c r="I435">
        <v>0</v>
      </c>
      <c r="J435">
        <v>1</v>
      </c>
    </row>
    <row r="436" spans="1:10">
      <c r="A436" s="4">
        <f t="shared" ref="A436:A450" si="37">YEAR(C436)</f>
        <v>2026</v>
      </c>
      <c r="B436" s="4">
        <f t="shared" ref="B436:B450" si="38">MONTH(C436)</f>
        <v>1</v>
      </c>
      <c r="C436" s="1">
        <f t="shared" si="34"/>
        <v>46047</v>
      </c>
      <c r="D436" s="8">
        <v>1</v>
      </c>
      <c r="E436" s="9">
        <v>0.2298611111111111</v>
      </c>
      <c r="F436">
        <v>135</v>
      </c>
      <c r="G436" s="8">
        <f>SUM($H$354:$H436)</f>
        <v>1495</v>
      </c>
      <c r="H436" s="8">
        <v>5</v>
      </c>
      <c r="I436">
        <v>0</v>
      </c>
      <c r="J436">
        <v>1</v>
      </c>
    </row>
    <row r="437" spans="1:10">
      <c r="A437" s="4">
        <f t="shared" si="37"/>
        <v>2026</v>
      </c>
      <c r="B437" s="4">
        <f t="shared" si="38"/>
        <v>1</v>
      </c>
      <c r="C437" s="1">
        <f t="shared" si="34"/>
        <v>46048</v>
      </c>
      <c r="D437" s="8">
        <v>1</v>
      </c>
      <c r="E437" s="9">
        <v>0.22500000000000001</v>
      </c>
      <c r="F437">
        <v>60</v>
      </c>
      <c r="G437" s="8">
        <f>SUM($H$354:$H437)</f>
        <v>1495</v>
      </c>
      <c r="H437" s="8">
        <v>0</v>
      </c>
      <c r="I437">
        <v>1</v>
      </c>
      <c r="J437">
        <v>2</v>
      </c>
    </row>
    <row r="438" spans="1:10">
      <c r="A438" s="4">
        <f t="shared" si="37"/>
        <v>2026</v>
      </c>
      <c r="B438" s="4">
        <f t="shared" si="38"/>
        <v>1</v>
      </c>
      <c r="C438" s="1">
        <f t="shared" si="34"/>
        <v>46049</v>
      </c>
      <c r="D438" s="8">
        <v>1</v>
      </c>
      <c r="E438" s="9">
        <v>0.22500000000000001</v>
      </c>
      <c r="F438">
        <v>125</v>
      </c>
      <c r="G438" s="8">
        <f>SUM($H$354:$H438)</f>
        <v>1495</v>
      </c>
      <c r="H438" s="8">
        <v>0</v>
      </c>
      <c r="I438">
        <v>0</v>
      </c>
      <c r="J438">
        <v>5</v>
      </c>
    </row>
    <row r="439" spans="1:10">
      <c r="A439" s="4">
        <f t="shared" si="37"/>
        <v>2026</v>
      </c>
      <c r="B439" s="4">
        <f t="shared" si="38"/>
        <v>1</v>
      </c>
      <c r="C439" s="1">
        <f t="shared" si="34"/>
        <v>46050</v>
      </c>
      <c r="D439" s="8">
        <v>1</v>
      </c>
      <c r="E439" s="9">
        <v>0.22569444444444445</v>
      </c>
      <c r="F439">
        <v>70</v>
      </c>
      <c r="G439" s="8">
        <f>SUM($H$354:$H439)</f>
        <v>1524</v>
      </c>
      <c r="H439" s="8">
        <v>29</v>
      </c>
      <c r="I439">
        <v>1</v>
      </c>
      <c r="J439">
        <v>3</v>
      </c>
    </row>
    <row r="440" spans="1:10">
      <c r="A440" s="4">
        <f t="shared" si="37"/>
        <v>2026</v>
      </c>
      <c r="B440" s="4">
        <f t="shared" si="38"/>
        <v>1</v>
      </c>
      <c r="C440" s="1">
        <f t="shared" si="34"/>
        <v>46051</v>
      </c>
      <c r="D440">
        <v>0</v>
      </c>
      <c r="E440" s="9">
        <v>0.23124999999999998</v>
      </c>
      <c r="F440">
        <v>60</v>
      </c>
      <c r="G440" s="8">
        <f>SUM($H$354:$H440)</f>
        <v>1544</v>
      </c>
      <c r="H440" s="8">
        <v>20</v>
      </c>
      <c r="I440">
        <v>0</v>
      </c>
      <c r="J440">
        <v>2</v>
      </c>
    </row>
    <row r="441" spans="1:10">
      <c r="A441" s="4">
        <f t="shared" si="37"/>
        <v>2026</v>
      </c>
      <c r="B441" s="4">
        <f t="shared" si="38"/>
        <v>1</v>
      </c>
      <c r="C441" s="1">
        <f t="shared" si="34"/>
        <v>46052</v>
      </c>
      <c r="D441">
        <v>1</v>
      </c>
      <c r="E441" s="9">
        <v>0.21180555555555555</v>
      </c>
      <c r="F441">
        <v>120</v>
      </c>
      <c r="G441" s="8">
        <f>SUM($H$354:$H441)</f>
        <v>1564</v>
      </c>
      <c r="H441" s="8">
        <v>20</v>
      </c>
      <c r="I441">
        <v>1</v>
      </c>
      <c r="J441">
        <v>3</v>
      </c>
    </row>
    <row r="442" spans="1:10">
      <c r="A442" s="4">
        <f t="shared" si="37"/>
        <v>2026</v>
      </c>
      <c r="B442" s="4">
        <f t="shared" si="38"/>
        <v>1</v>
      </c>
      <c r="C442" s="1">
        <f t="shared" si="34"/>
        <v>46053</v>
      </c>
      <c r="D442">
        <v>1</v>
      </c>
      <c r="E442" s="9">
        <v>0.2298611111111111</v>
      </c>
      <c r="F442">
        <v>75</v>
      </c>
      <c r="G442" s="8">
        <f>SUM($H$354:$H442)</f>
        <v>1584</v>
      </c>
      <c r="H442" s="8">
        <v>20</v>
      </c>
      <c r="I442">
        <v>1</v>
      </c>
      <c r="J442">
        <v>0</v>
      </c>
    </row>
    <row r="443" spans="1:10">
      <c r="A443" s="4">
        <f t="shared" si="37"/>
        <v>2026</v>
      </c>
      <c r="B443" s="4">
        <f t="shared" si="38"/>
        <v>2</v>
      </c>
      <c r="C443" s="1">
        <f t="shared" si="34"/>
        <v>46054</v>
      </c>
      <c r="D443">
        <v>1</v>
      </c>
      <c r="E443" s="9">
        <v>0.21180555555555555</v>
      </c>
      <c r="F443">
        <v>60</v>
      </c>
      <c r="G443" s="8">
        <f>SUM($H$354:$H443)</f>
        <v>1616</v>
      </c>
      <c r="H443" s="8">
        <v>32</v>
      </c>
      <c r="I443">
        <v>1</v>
      </c>
      <c r="J443">
        <v>0</v>
      </c>
    </row>
    <row r="444" spans="1:10">
      <c r="A444" s="4">
        <f t="shared" si="37"/>
        <v>2026</v>
      </c>
      <c r="B444" s="4">
        <f t="shared" si="38"/>
        <v>2</v>
      </c>
      <c r="C444" s="1">
        <f t="shared" si="34"/>
        <v>46055</v>
      </c>
      <c r="D444">
        <v>1</v>
      </c>
      <c r="E444" s="9">
        <v>0.21041666666666667</v>
      </c>
      <c r="F444">
        <v>60</v>
      </c>
      <c r="G444" s="8">
        <f>SUM($H$354:$H444)</f>
        <v>1620</v>
      </c>
      <c r="H444" s="8">
        <v>4</v>
      </c>
      <c r="I444">
        <v>1</v>
      </c>
      <c r="J444">
        <v>3</v>
      </c>
    </row>
    <row r="445" spans="1:10">
      <c r="A445" s="4">
        <f t="shared" si="37"/>
        <v>2026</v>
      </c>
      <c r="B445" s="4">
        <f t="shared" si="38"/>
        <v>2</v>
      </c>
      <c r="C445" s="1">
        <f t="shared" si="34"/>
        <v>46056</v>
      </c>
      <c r="D445">
        <v>1</v>
      </c>
      <c r="E445" s="9">
        <v>0.21111111111111111</v>
      </c>
      <c r="F445">
        <v>130</v>
      </c>
      <c r="G445" s="8">
        <f>SUM($H$354:$H445)</f>
        <v>1640</v>
      </c>
      <c r="H445" s="8">
        <v>20</v>
      </c>
      <c r="I445">
        <v>0</v>
      </c>
      <c r="J445">
        <v>2</v>
      </c>
    </row>
    <row r="446" spans="1:10">
      <c r="A446" s="4">
        <f t="shared" si="37"/>
        <v>2026</v>
      </c>
      <c r="B446" s="4">
        <f t="shared" si="38"/>
        <v>2</v>
      </c>
      <c r="C446" s="1">
        <f t="shared" si="34"/>
        <v>46057</v>
      </c>
      <c r="D446">
        <v>1</v>
      </c>
      <c r="E446" s="9">
        <v>0.21180555555555555</v>
      </c>
      <c r="F446">
        <v>120</v>
      </c>
      <c r="G446" s="8">
        <f>SUM($H$354:$H446)</f>
        <v>1662</v>
      </c>
      <c r="H446" s="8">
        <v>22</v>
      </c>
      <c r="I446">
        <v>1</v>
      </c>
      <c r="J446">
        <v>0</v>
      </c>
    </row>
    <row r="447" spans="1:10">
      <c r="A447" s="4">
        <f t="shared" si="37"/>
        <v>2026</v>
      </c>
      <c r="B447" s="4">
        <f t="shared" si="38"/>
        <v>2</v>
      </c>
      <c r="C447" s="1">
        <f t="shared" si="34"/>
        <v>46058</v>
      </c>
      <c r="E447" s="9">
        <v>0.21111111111111111</v>
      </c>
      <c r="F447">
        <v>90</v>
      </c>
      <c r="G447" s="8">
        <f>SUM($H$354:$H447)</f>
        <v>1682</v>
      </c>
      <c r="H447" s="8">
        <v>20</v>
      </c>
      <c r="I447">
        <v>1</v>
      </c>
      <c r="J447">
        <v>1</v>
      </c>
    </row>
    <row r="448" spans="1:10">
      <c r="A448" s="4">
        <f t="shared" si="37"/>
        <v>2026</v>
      </c>
      <c r="B448" s="4">
        <f t="shared" si="38"/>
        <v>2</v>
      </c>
      <c r="C448" s="1">
        <f t="shared" si="34"/>
        <v>46059</v>
      </c>
      <c r="E448" s="9">
        <v>0.23263888888888887</v>
      </c>
      <c r="F448">
        <v>90</v>
      </c>
      <c r="G448" s="8">
        <f>SUM($H$354:$H448)</f>
        <v>1701</v>
      </c>
      <c r="H448" s="8">
        <v>19</v>
      </c>
      <c r="I448">
        <v>1</v>
      </c>
      <c r="J448">
        <v>1</v>
      </c>
    </row>
    <row r="449" spans="1:11">
      <c r="A449" s="4">
        <f t="shared" si="37"/>
        <v>2026</v>
      </c>
      <c r="B449" s="4">
        <f t="shared" si="38"/>
        <v>2</v>
      </c>
      <c r="C449" s="1">
        <f t="shared" si="34"/>
        <v>46060</v>
      </c>
      <c r="E449" s="9">
        <v>0.23263888888888887</v>
      </c>
      <c r="F449">
        <v>73</v>
      </c>
      <c r="G449" s="8">
        <f>SUM($H$354:$H449)</f>
        <v>1716</v>
      </c>
      <c r="H449" s="8">
        <v>15</v>
      </c>
      <c r="I449">
        <v>0</v>
      </c>
      <c r="J449">
        <v>1</v>
      </c>
    </row>
    <row r="450" spans="1:11">
      <c r="A450" s="4">
        <f t="shared" si="37"/>
        <v>2026</v>
      </c>
      <c r="B450" s="4">
        <f t="shared" si="38"/>
        <v>2</v>
      </c>
      <c r="C450" s="1">
        <f t="shared" si="34"/>
        <v>46061</v>
      </c>
      <c r="E450" s="9">
        <v>0.23263888888888887</v>
      </c>
      <c r="F450" s="8">
        <v>105</v>
      </c>
      <c r="G450" s="8">
        <f>SUM($H$354:$H450)</f>
        <v>1741</v>
      </c>
      <c r="H450" s="8">
        <v>25</v>
      </c>
    </row>
    <row r="451" spans="1:11">
      <c r="A451" s="4">
        <f t="shared" ref="A451:A503" si="39">YEAR(C451)</f>
        <v>2026</v>
      </c>
      <c r="B451" s="4">
        <f t="shared" ref="B451:B503" si="40">MONTH(C451)</f>
        <v>2</v>
      </c>
      <c r="C451" s="1">
        <f t="shared" si="34"/>
        <v>46062</v>
      </c>
      <c r="D451">
        <v>0</v>
      </c>
    </row>
    <row r="452" spans="1:11">
      <c r="A452" s="4">
        <f t="shared" si="39"/>
        <v>2026</v>
      </c>
      <c r="B452" s="4">
        <f t="shared" si="40"/>
        <v>2</v>
      </c>
      <c r="C452" s="1">
        <f t="shared" si="34"/>
        <v>46063</v>
      </c>
      <c r="D452">
        <v>0</v>
      </c>
    </row>
    <row r="453" spans="1:11">
      <c r="A453" s="4">
        <f t="shared" si="39"/>
        <v>2026</v>
      </c>
      <c r="B453" s="4">
        <f t="shared" si="40"/>
        <v>2</v>
      </c>
      <c r="C453" s="1">
        <f t="shared" si="34"/>
        <v>46064</v>
      </c>
      <c r="D453">
        <v>0</v>
      </c>
    </row>
    <row r="454" spans="1:11">
      <c r="A454" s="4">
        <f t="shared" si="39"/>
        <v>2026</v>
      </c>
      <c r="B454" s="4">
        <f t="shared" si="40"/>
        <v>2</v>
      </c>
      <c r="C454" s="1">
        <f t="shared" si="34"/>
        <v>46065</v>
      </c>
    </row>
    <row r="455" spans="1:11">
      <c r="A455" s="4">
        <f t="shared" si="39"/>
        <v>2026</v>
      </c>
      <c r="B455" s="4">
        <f t="shared" si="40"/>
        <v>2</v>
      </c>
      <c r="C455" s="1">
        <f t="shared" si="34"/>
        <v>46066</v>
      </c>
      <c r="I455">
        <v>1</v>
      </c>
    </row>
    <row r="456" spans="1:11">
      <c r="A456" s="4">
        <f t="shared" si="39"/>
        <v>2026</v>
      </c>
      <c r="B456" s="4">
        <f t="shared" si="40"/>
        <v>2</v>
      </c>
      <c r="C456" s="1">
        <f t="shared" si="34"/>
        <v>46067</v>
      </c>
      <c r="I456">
        <v>1</v>
      </c>
    </row>
    <row r="457" spans="1:11">
      <c r="A457" s="4">
        <f t="shared" si="39"/>
        <v>2026</v>
      </c>
      <c r="B457" s="4">
        <f t="shared" si="40"/>
        <v>2</v>
      </c>
      <c r="C457" s="1">
        <f t="shared" ref="C457:C520" si="41">C456+1</f>
        <v>46068</v>
      </c>
      <c r="D457">
        <v>1</v>
      </c>
      <c r="E457" s="9">
        <v>0.25347222222222221</v>
      </c>
      <c r="F457">
        <v>45</v>
      </c>
      <c r="G457" s="8">
        <f>SUM($H$354:$H457)</f>
        <v>1750</v>
      </c>
      <c r="H457" s="8">
        <v>9</v>
      </c>
      <c r="I457">
        <v>0</v>
      </c>
    </row>
    <row r="458" spans="1:11">
      <c r="A458" s="4">
        <f t="shared" si="39"/>
        <v>2026</v>
      </c>
      <c r="B458" s="4">
        <f t="shared" si="40"/>
        <v>2</v>
      </c>
      <c r="C458" s="1">
        <f t="shared" si="41"/>
        <v>46069</v>
      </c>
      <c r="E458" s="9">
        <v>0.22916666666666666</v>
      </c>
      <c r="F458">
        <v>60</v>
      </c>
      <c r="G458" s="8">
        <f>SUM($H$354:$H458)</f>
        <v>1770</v>
      </c>
      <c r="H458" s="8">
        <v>20</v>
      </c>
    </row>
    <row r="459" spans="1:11">
      <c r="A459" s="4">
        <f t="shared" si="39"/>
        <v>2026</v>
      </c>
      <c r="B459" s="4">
        <f t="shared" si="40"/>
        <v>2</v>
      </c>
      <c r="C459" s="1">
        <f t="shared" si="41"/>
        <v>46070</v>
      </c>
      <c r="D459">
        <v>0</v>
      </c>
      <c r="E459" s="9">
        <v>0.28472222222222221</v>
      </c>
      <c r="F459">
        <v>30</v>
      </c>
      <c r="G459" s="8">
        <f>SUM($H$354:$H459)</f>
        <v>1780</v>
      </c>
      <c r="H459" s="8">
        <v>10</v>
      </c>
      <c r="K459" s="8" t="s">
        <v>98</v>
      </c>
    </row>
    <row r="460" spans="1:11">
      <c r="A460" s="4">
        <f t="shared" si="39"/>
        <v>2026</v>
      </c>
      <c r="B460" s="4">
        <f t="shared" si="40"/>
        <v>2</v>
      </c>
      <c r="C460" s="1">
        <f t="shared" si="41"/>
        <v>46071</v>
      </c>
      <c r="E460" s="9">
        <v>0.1875</v>
      </c>
      <c r="F460">
        <v>120</v>
      </c>
      <c r="G460" s="8">
        <f>SUM($H$354:$H460)</f>
        <v>1797</v>
      </c>
      <c r="H460" s="8">
        <v>17</v>
      </c>
    </row>
    <row r="461" spans="1:11">
      <c r="A461" s="4">
        <f t="shared" si="39"/>
        <v>2026</v>
      </c>
      <c r="B461" s="4">
        <f t="shared" si="40"/>
        <v>2</v>
      </c>
      <c r="C461" s="1">
        <f t="shared" si="41"/>
        <v>46072</v>
      </c>
    </row>
    <row r="462" spans="1:11">
      <c r="A462" s="4">
        <f t="shared" si="39"/>
        <v>2026</v>
      </c>
      <c r="B462" s="4">
        <f t="shared" si="40"/>
        <v>2</v>
      </c>
      <c r="C462" s="1">
        <f t="shared" si="41"/>
        <v>46073</v>
      </c>
    </row>
    <row r="463" spans="1:11">
      <c r="A463" s="4">
        <f t="shared" si="39"/>
        <v>2026</v>
      </c>
      <c r="B463" s="4">
        <f t="shared" si="40"/>
        <v>2</v>
      </c>
      <c r="C463" s="1">
        <f t="shared" si="41"/>
        <v>46074</v>
      </c>
      <c r="D463">
        <v>0</v>
      </c>
    </row>
    <row r="464" spans="1:11">
      <c r="A464" s="4">
        <f t="shared" si="39"/>
        <v>2026</v>
      </c>
      <c r="B464" s="4">
        <f t="shared" si="40"/>
        <v>2</v>
      </c>
      <c r="C464" s="1">
        <f t="shared" si="41"/>
        <v>46075</v>
      </c>
      <c r="D464">
        <v>0</v>
      </c>
      <c r="F464">
        <v>30</v>
      </c>
      <c r="G464" s="8">
        <f>SUM($H$354:$H464)</f>
        <v>1817</v>
      </c>
      <c r="H464" s="8">
        <v>20</v>
      </c>
    </row>
    <row r="465" spans="1:11">
      <c r="A465" s="4">
        <f t="shared" si="39"/>
        <v>2026</v>
      </c>
      <c r="B465" s="4">
        <f t="shared" si="40"/>
        <v>2</v>
      </c>
      <c r="C465" s="1">
        <f t="shared" si="41"/>
        <v>46076</v>
      </c>
      <c r="E465" s="9">
        <v>0.26041666666666669</v>
      </c>
      <c r="F465">
        <v>110</v>
      </c>
      <c r="G465" s="8">
        <f>SUM($H$354:$H465)</f>
        <v>1830</v>
      </c>
      <c r="H465" s="8">
        <v>13</v>
      </c>
    </row>
    <row r="466" spans="1:11">
      <c r="A466" s="4">
        <f t="shared" si="39"/>
        <v>2026</v>
      </c>
      <c r="B466" s="4">
        <f t="shared" si="40"/>
        <v>2</v>
      </c>
      <c r="C466" s="1">
        <f t="shared" si="41"/>
        <v>46077</v>
      </c>
      <c r="D466">
        <v>1</v>
      </c>
      <c r="E466" s="9">
        <v>0.21180555555555555</v>
      </c>
      <c r="F466">
        <v>85</v>
      </c>
      <c r="G466" s="8">
        <f>SUM($H$354:$H466)</f>
        <v>1847</v>
      </c>
      <c r="H466" s="8">
        <v>17</v>
      </c>
    </row>
    <row r="467" spans="1:11">
      <c r="A467" s="4">
        <f t="shared" si="39"/>
        <v>2026</v>
      </c>
      <c r="B467" s="4">
        <f t="shared" si="40"/>
        <v>2</v>
      </c>
      <c r="C467" s="1">
        <f t="shared" si="41"/>
        <v>46078</v>
      </c>
      <c r="D467">
        <v>1</v>
      </c>
      <c r="E467" s="9">
        <v>0.21111111111111111</v>
      </c>
      <c r="F467">
        <v>60</v>
      </c>
      <c r="G467" s="8">
        <f>SUM($H$354:$H467)</f>
        <v>1886</v>
      </c>
      <c r="H467" s="8">
        <v>39</v>
      </c>
    </row>
    <row r="468" spans="1:11">
      <c r="A468" s="4">
        <f t="shared" si="39"/>
        <v>2026</v>
      </c>
      <c r="B468" s="4">
        <f t="shared" si="40"/>
        <v>2</v>
      </c>
      <c r="C468" s="1">
        <f t="shared" si="41"/>
        <v>46079</v>
      </c>
      <c r="D468">
        <v>1</v>
      </c>
      <c r="E468" s="9">
        <v>0.21736111111111112</v>
      </c>
      <c r="F468">
        <v>115</v>
      </c>
      <c r="G468" s="8">
        <f>SUM($H$354:$H468)</f>
        <v>1916</v>
      </c>
      <c r="H468" s="8">
        <v>30</v>
      </c>
      <c r="I468">
        <v>1</v>
      </c>
      <c r="J468">
        <v>2</v>
      </c>
    </row>
    <row r="469" spans="1:11">
      <c r="A469" s="4">
        <f t="shared" si="39"/>
        <v>2026</v>
      </c>
      <c r="B469" s="4">
        <f t="shared" si="40"/>
        <v>2</v>
      </c>
      <c r="C469" s="1">
        <f t="shared" si="41"/>
        <v>46080</v>
      </c>
      <c r="D469">
        <v>1</v>
      </c>
      <c r="E469" s="9">
        <v>0.21388888888888891</v>
      </c>
      <c r="F469">
        <v>85</v>
      </c>
      <c r="G469" s="8">
        <f>SUM($H$354:$H469)</f>
        <v>1946</v>
      </c>
      <c r="H469" s="8">
        <v>30</v>
      </c>
      <c r="I469">
        <v>1</v>
      </c>
    </row>
    <row r="470" spans="1:11">
      <c r="A470" s="4">
        <f t="shared" si="39"/>
        <v>2026</v>
      </c>
      <c r="B470" s="4">
        <f t="shared" si="40"/>
        <v>2</v>
      </c>
      <c r="C470" s="1">
        <f t="shared" si="41"/>
        <v>46081</v>
      </c>
      <c r="D470">
        <v>1</v>
      </c>
      <c r="E470" s="9">
        <v>0.30208333333333331</v>
      </c>
      <c r="F470">
        <v>0</v>
      </c>
      <c r="G470" s="8">
        <f>SUM($H$354:$H470)</f>
        <v>1946</v>
      </c>
      <c r="H470" s="8">
        <v>0</v>
      </c>
      <c r="I470">
        <v>0</v>
      </c>
    </row>
    <row r="471" spans="1:11">
      <c r="A471" s="4">
        <f t="shared" si="39"/>
        <v>2026</v>
      </c>
      <c r="B471" s="4">
        <f t="shared" si="40"/>
        <v>3</v>
      </c>
      <c r="C471" s="1">
        <f t="shared" si="41"/>
        <v>46082</v>
      </c>
      <c r="D471">
        <v>0</v>
      </c>
      <c r="E471" s="9">
        <v>0.22916666666666666</v>
      </c>
      <c r="F471">
        <v>105</v>
      </c>
      <c r="G471" s="8">
        <f>SUM($H$354:$H471)</f>
        <v>1978</v>
      </c>
      <c r="H471" s="8">
        <v>32</v>
      </c>
      <c r="I471">
        <v>0</v>
      </c>
      <c r="K471" s="8" t="s">
        <v>99</v>
      </c>
    </row>
    <row r="472" spans="1:11">
      <c r="A472" s="4">
        <f t="shared" si="39"/>
        <v>2026</v>
      </c>
      <c r="B472" s="4">
        <f t="shared" si="40"/>
        <v>3</v>
      </c>
      <c r="C472" s="1">
        <f t="shared" si="41"/>
        <v>46083</v>
      </c>
      <c r="D472">
        <v>1</v>
      </c>
      <c r="E472" s="9">
        <v>0.22222222222222221</v>
      </c>
      <c r="F472">
        <v>110</v>
      </c>
      <c r="G472" s="8">
        <f>SUM($H$354:$H472)</f>
        <v>1990</v>
      </c>
      <c r="H472" s="8">
        <v>12</v>
      </c>
      <c r="I472">
        <v>0</v>
      </c>
      <c r="J472">
        <v>1</v>
      </c>
    </row>
    <row r="473" spans="1:11">
      <c r="A473" s="4">
        <f t="shared" si="39"/>
        <v>2026</v>
      </c>
      <c r="B473" s="4">
        <f t="shared" si="40"/>
        <v>3</v>
      </c>
      <c r="C473" s="1">
        <f t="shared" si="41"/>
        <v>46084</v>
      </c>
      <c r="D473">
        <v>1</v>
      </c>
      <c r="E473" s="9">
        <v>0.25763888888888892</v>
      </c>
      <c r="F473">
        <v>60</v>
      </c>
      <c r="G473" s="8">
        <f>SUM($H$354:$H473)</f>
        <v>2004</v>
      </c>
      <c r="H473" s="8">
        <v>14</v>
      </c>
      <c r="I473">
        <v>1</v>
      </c>
      <c r="J473">
        <v>3</v>
      </c>
    </row>
    <row r="474" spans="1:11">
      <c r="A474" s="4">
        <f t="shared" si="39"/>
        <v>2026</v>
      </c>
      <c r="B474" s="4">
        <f t="shared" si="40"/>
        <v>3</v>
      </c>
      <c r="C474" s="1">
        <f t="shared" si="41"/>
        <v>46085</v>
      </c>
      <c r="D474">
        <v>1</v>
      </c>
      <c r="E474" s="9">
        <v>0.25763888888888892</v>
      </c>
      <c r="F474">
        <v>50</v>
      </c>
      <c r="G474" s="8">
        <f>SUM($H$354:$H474)</f>
        <v>2023</v>
      </c>
      <c r="H474" s="8">
        <v>19</v>
      </c>
      <c r="I474">
        <v>0</v>
      </c>
      <c r="J474">
        <v>2</v>
      </c>
    </row>
    <row r="475" spans="1:11">
      <c r="A475" s="4">
        <f t="shared" si="39"/>
        <v>2026</v>
      </c>
      <c r="B475" s="4">
        <f t="shared" si="40"/>
        <v>3</v>
      </c>
      <c r="C475" s="1">
        <f t="shared" si="41"/>
        <v>46086</v>
      </c>
      <c r="D475">
        <v>0</v>
      </c>
      <c r="E475" s="9">
        <v>0.22430555555555556</v>
      </c>
      <c r="F475">
        <v>70</v>
      </c>
      <c r="G475" s="8">
        <f>SUM($H$354:$H475)</f>
        <v>2023</v>
      </c>
      <c r="K475" s="8" t="s">
        <v>100</v>
      </c>
    </row>
    <row r="476" spans="1:11">
      <c r="A476" s="4">
        <f t="shared" si="39"/>
        <v>2026</v>
      </c>
      <c r="B476" s="4">
        <f t="shared" si="40"/>
        <v>3</v>
      </c>
      <c r="C476" s="1">
        <f t="shared" si="41"/>
        <v>46087</v>
      </c>
      <c r="E476" s="9">
        <v>0.25555555555555559</v>
      </c>
      <c r="F476">
        <v>20</v>
      </c>
      <c r="G476" s="8">
        <f>SUM($H$354:$H476)</f>
        <v>2023</v>
      </c>
    </row>
    <row r="477" spans="1:11">
      <c r="A477" s="4">
        <f t="shared" si="39"/>
        <v>2026</v>
      </c>
      <c r="B477" s="4">
        <f t="shared" si="40"/>
        <v>3</v>
      </c>
      <c r="C477" s="1">
        <f t="shared" si="41"/>
        <v>46088</v>
      </c>
      <c r="D477">
        <v>0</v>
      </c>
      <c r="F477">
        <v>0</v>
      </c>
      <c r="G477" s="8">
        <f>SUM($H$354:$H477)</f>
        <v>2023</v>
      </c>
      <c r="I477">
        <v>1</v>
      </c>
      <c r="K477" s="8" t="s">
        <v>101</v>
      </c>
    </row>
    <row r="478" spans="1:11">
      <c r="A478" s="4">
        <f t="shared" si="39"/>
        <v>2026</v>
      </c>
      <c r="B478" s="4">
        <f t="shared" si="40"/>
        <v>3</v>
      </c>
      <c r="C478" s="1">
        <f t="shared" si="41"/>
        <v>46089</v>
      </c>
      <c r="D478">
        <v>0</v>
      </c>
      <c r="F478">
        <v>0</v>
      </c>
      <c r="G478" s="8">
        <f>SUM($H$354:$H478)</f>
        <v>2023</v>
      </c>
      <c r="I478">
        <v>1</v>
      </c>
      <c r="K478" s="8" t="s">
        <v>102</v>
      </c>
    </row>
    <row r="479" spans="1:11">
      <c r="A479" s="4">
        <f t="shared" si="39"/>
        <v>2026</v>
      </c>
      <c r="B479" s="4">
        <f t="shared" si="40"/>
        <v>3</v>
      </c>
      <c r="C479" s="1">
        <f t="shared" si="41"/>
        <v>46090</v>
      </c>
      <c r="D479">
        <v>1</v>
      </c>
      <c r="E479" s="9">
        <v>0.24305555555555555</v>
      </c>
      <c r="F479">
        <v>60</v>
      </c>
      <c r="G479" s="8">
        <f>SUM($H$354:$H479)</f>
        <v>2038</v>
      </c>
      <c r="H479" s="8">
        <v>15</v>
      </c>
      <c r="I479">
        <v>1</v>
      </c>
    </row>
    <row r="480" spans="1:11">
      <c r="A480" s="4">
        <f t="shared" si="39"/>
        <v>2026</v>
      </c>
      <c r="B480" s="4">
        <f t="shared" si="40"/>
        <v>3</v>
      </c>
      <c r="C480" s="1">
        <f t="shared" si="41"/>
        <v>46091</v>
      </c>
      <c r="D480">
        <v>1</v>
      </c>
      <c r="E480" s="9">
        <v>0.28472222222222221</v>
      </c>
      <c r="F480">
        <v>0</v>
      </c>
      <c r="G480" s="8">
        <f>SUM($H$354:$H480)</f>
        <v>2038</v>
      </c>
      <c r="H480" s="8">
        <v>0</v>
      </c>
      <c r="I480">
        <v>1</v>
      </c>
    </row>
    <row r="481" spans="1:11">
      <c r="A481" s="4">
        <f t="shared" si="39"/>
        <v>2026</v>
      </c>
      <c r="B481" s="4">
        <f t="shared" si="40"/>
        <v>3</v>
      </c>
      <c r="C481" s="1">
        <f t="shared" si="41"/>
        <v>46092</v>
      </c>
      <c r="D481">
        <v>1</v>
      </c>
      <c r="E481" s="9">
        <v>0.23263888888888887</v>
      </c>
      <c r="F481">
        <v>110</v>
      </c>
      <c r="G481" s="8">
        <f>SUM($H$354:$H481)</f>
        <v>2056</v>
      </c>
      <c r="H481" s="8">
        <v>18</v>
      </c>
      <c r="I481">
        <v>0</v>
      </c>
      <c r="J481">
        <v>3</v>
      </c>
    </row>
    <row r="482" spans="1:11">
      <c r="A482" s="4">
        <f t="shared" si="39"/>
        <v>2026</v>
      </c>
      <c r="B482" s="4">
        <f t="shared" si="40"/>
        <v>3</v>
      </c>
      <c r="C482" s="1">
        <f t="shared" si="41"/>
        <v>46093</v>
      </c>
      <c r="D482">
        <v>1</v>
      </c>
      <c r="E482" s="9">
        <v>0.21736111111111112</v>
      </c>
      <c r="F482">
        <v>110</v>
      </c>
      <c r="G482" s="8">
        <f>SUM($H$354:$H482)</f>
        <v>2080</v>
      </c>
      <c r="H482" s="8">
        <v>24</v>
      </c>
      <c r="I482">
        <v>1</v>
      </c>
      <c r="J482">
        <v>3</v>
      </c>
    </row>
    <row r="483" spans="1:11">
      <c r="A483" s="4">
        <f t="shared" si="39"/>
        <v>2026</v>
      </c>
      <c r="B483" s="4">
        <f t="shared" si="40"/>
        <v>3</v>
      </c>
      <c r="C483" s="1">
        <f t="shared" si="41"/>
        <v>46094</v>
      </c>
      <c r="D483">
        <v>1</v>
      </c>
      <c r="E483" s="9">
        <v>0.21736111111111112</v>
      </c>
      <c r="F483">
        <v>80</v>
      </c>
      <c r="G483" s="8">
        <f>SUM($H$354:$H483)</f>
        <v>2099</v>
      </c>
      <c r="H483" s="8">
        <v>19</v>
      </c>
      <c r="I483">
        <v>1</v>
      </c>
      <c r="J483">
        <v>3</v>
      </c>
    </row>
    <row r="484" spans="1:11">
      <c r="A484" s="4">
        <f t="shared" si="39"/>
        <v>2026</v>
      </c>
      <c r="B484" s="4">
        <f t="shared" si="40"/>
        <v>3</v>
      </c>
      <c r="C484" s="1">
        <f t="shared" si="41"/>
        <v>46095</v>
      </c>
      <c r="D484">
        <v>1</v>
      </c>
      <c r="E484" s="9">
        <v>0.21875</v>
      </c>
      <c r="F484">
        <v>120</v>
      </c>
      <c r="G484" s="8">
        <f>SUM($H$354:$H484)</f>
        <v>2127</v>
      </c>
      <c r="H484" s="8">
        <v>28</v>
      </c>
      <c r="I484">
        <v>1</v>
      </c>
      <c r="J484">
        <v>1</v>
      </c>
    </row>
    <row r="485" spans="1:11">
      <c r="A485" s="4">
        <f t="shared" si="39"/>
        <v>2026</v>
      </c>
      <c r="B485" s="4">
        <f t="shared" si="40"/>
        <v>3</v>
      </c>
      <c r="C485" s="1">
        <f t="shared" si="41"/>
        <v>46096</v>
      </c>
      <c r="D485">
        <v>0</v>
      </c>
      <c r="E485" s="9">
        <v>0.25277777777777777</v>
      </c>
      <c r="F485">
        <v>45</v>
      </c>
      <c r="G485" s="8">
        <f>SUM($H$354:$H485)</f>
        <v>2133</v>
      </c>
      <c r="H485" s="8">
        <v>6</v>
      </c>
      <c r="I485">
        <v>1</v>
      </c>
      <c r="J485">
        <v>1</v>
      </c>
      <c r="K485" s="8" t="s">
        <v>103</v>
      </c>
    </row>
    <row r="486" spans="1:11">
      <c r="A486" s="4">
        <f t="shared" si="39"/>
        <v>2026</v>
      </c>
      <c r="B486" s="4">
        <f t="shared" si="40"/>
        <v>3</v>
      </c>
      <c r="C486" s="1">
        <f t="shared" si="41"/>
        <v>46097</v>
      </c>
      <c r="D486">
        <v>1</v>
      </c>
      <c r="E486" s="9">
        <v>0.23472222222222219</v>
      </c>
      <c r="F486">
        <v>115</v>
      </c>
      <c r="G486" s="8">
        <f>SUM($H$354:$H486)</f>
        <v>2133</v>
      </c>
      <c r="H486" s="8">
        <v>0</v>
      </c>
      <c r="I486">
        <v>1</v>
      </c>
      <c r="J486">
        <v>2</v>
      </c>
    </row>
    <row r="487" spans="1:11">
      <c r="A487" s="4">
        <f t="shared" si="39"/>
        <v>2026</v>
      </c>
      <c r="B487" s="4">
        <f t="shared" si="40"/>
        <v>3</v>
      </c>
      <c r="C487" s="1">
        <f t="shared" si="41"/>
        <v>46098</v>
      </c>
      <c r="D487">
        <v>1</v>
      </c>
      <c r="E487" s="9">
        <v>0.22847222222222222</v>
      </c>
      <c r="F487">
        <v>120</v>
      </c>
      <c r="G487" s="8">
        <f>SUM($H$354:$H487)</f>
        <v>2154</v>
      </c>
      <c r="H487" s="8">
        <v>21</v>
      </c>
      <c r="I487">
        <v>1</v>
      </c>
      <c r="J487">
        <v>4</v>
      </c>
    </row>
    <row r="488" spans="1:11">
      <c r="A488" s="4">
        <f t="shared" si="39"/>
        <v>2026</v>
      </c>
      <c r="B488" s="4">
        <f t="shared" si="40"/>
        <v>3</v>
      </c>
      <c r="C488" s="1">
        <f t="shared" si="41"/>
        <v>46099</v>
      </c>
      <c r="D488">
        <v>1</v>
      </c>
      <c r="E488" s="9">
        <v>0.21388888888888891</v>
      </c>
      <c r="F488">
        <v>105</v>
      </c>
      <c r="G488" s="8">
        <f>SUM($H$354:$H488)</f>
        <v>2177</v>
      </c>
      <c r="H488" s="8">
        <v>23</v>
      </c>
      <c r="I488">
        <v>1</v>
      </c>
      <c r="J488">
        <v>4</v>
      </c>
    </row>
    <row r="489" spans="1:11">
      <c r="A489" s="4">
        <f t="shared" si="39"/>
        <v>2026</v>
      </c>
      <c r="B489" s="4">
        <f t="shared" si="40"/>
        <v>3</v>
      </c>
      <c r="C489" s="1">
        <f t="shared" si="41"/>
        <v>46100</v>
      </c>
      <c r="D489">
        <v>0</v>
      </c>
      <c r="E489" s="9">
        <v>0.22847222222222222</v>
      </c>
      <c r="F489">
        <v>65</v>
      </c>
      <c r="G489" s="8">
        <f>SUM($H$354:$H489)</f>
        <v>2177</v>
      </c>
      <c r="H489" s="8">
        <v>0</v>
      </c>
      <c r="I489">
        <v>1</v>
      </c>
      <c r="J489">
        <v>3</v>
      </c>
    </row>
    <row r="490" spans="1:11">
      <c r="A490" s="4">
        <f t="shared" si="39"/>
        <v>2026</v>
      </c>
      <c r="B490" s="4">
        <f t="shared" si="40"/>
        <v>3</v>
      </c>
      <c r="C490" s="1">
        <f t="shared" si="41"/>
        <v>46101</v>
      </c>
      <c r="D490">
        <v>1</v>
      </c>
      <c r="E490" s="9">
        <v>0.26319444444444445</v>
      </c>
      <c r="F490">
        <v>60</v>
      </c>
      <c r="G490" s="8">
        <f>SUM($H$354:$H490)</f>
        <v>2197</v>
      </c>
      <c r="H490" s="8">
        <v>20</v>
      </c>
      <c r="I490">
        <v>1</v>
      </c>
    </row>
    <row r="491" spans="1:11">
      <c r="A491" s="4">
        <f t="shared" si="39"/>
        <v>2026</v>
      </c>
      <c r="B491" s="4">
        <f t="shared" si="40"/>
        <v>3</v>
      </c>
      <c r="C491" s="1">
        <f t="shared" si="41"/>
        <v>46102</v>
      </c>
      <c r="D491">
        <v>1</v>
      </c>
      <c r="E491" s="9">
        <v>0.23958333333333334</v>
      </c>
      <c r="F491">
        <v>0</v>
      </c>
      <c r="G491" s="8">
        <f>SUM($H$354:$H491)</f>
        <v>2197</v>
      </c>
      <c r="H491" s="8">
        <v>0</v>
      </c>
      <c r="I491">
        <v>1</v>
      </c>
    </row>
    <row r="492" spans="1:11">
      <c r="A492" s="4">
        <f t="shared" si="39"/>
        <v>2026</v>
      </c>
      <c r="B492" s="4">
        <f t="shared" si="40"/>
        <v>3</v>
      </c>
      <c r="C492" s="1">
        <f t="shared" si="41"/>
        <v>46103</v>
      </c>
      <c r="D492">
        <v>1</v>
      </c>
      <c r="E492" s="9">
        <v>0.32291666666666669</v>
      </c>
      <c r="F492">
        <v>0</v>
      </c>
      <c r="G492" s="8">
        <f>SUM($H$354:$H492)</f>
        <v>2197</v>
      </c>
      <c r="H492" s="8">
        <v>0</v>
      </c>
      <c r="I492">
        <v>1</v>
      </c>
    </row>
    <row r="493" spans="1:11">
      <c r="A493" s="4">
        <f t="shared" si="39"/>
        <v>2026</v>
      </c>
      <c r="B493" s="4">
        <f t="shared" si="40"/>
        <v>3</v>
      </c>
      <c r="C493" s="1">
        <f t="shared" si="41"/>
        <v>46104</v>
      </c>
      <c r="D493">
        <v>1</v>
      </c>
      <c r="E493" s="9">
        <v>0.28472222222222221</v>
      </c>
      <c r="F493">
        <v>0</v>
      </c>
      <c r="G493" s="8">
        <f>SUM($H$354:$H493)</f>
        <v>2197</v>
      </c>
      <c r="H493" s="8">
        <v>0</v>
      </c>
      <c r="I493">
        <v>1</v>
      </c>
      <c r="J493">
        <v>2</v>
      </c>
    </row>
    <row r="494" spans="1:11">
      <c r="A494" s="4">
        <f t="shared" si="39"/>
        <v>2026</v>
      </c>
      <c r="B494" s="4">
        <f t="shared" si="40"/>
        <v>3</v>
      </c>
      <c r="C494" s="1">
        <f t="shared" si="41"/>
        <v>46105</v>
      </c>
      <c r="D494">
        <v>1</v>
      </c>
      <c r="E494" s="9">
        <v>0.23611111111111113</v>
      </c>
      <c r="F494">
        <v>50</v>
      </c>
      <c r="G494" s="8">
        <f>SUM($H$354:$H494)</f>
        <v>2205</v>
      </c>
      <c r="H494" s="8">
        <v>8</v>
      </c>
      <c r="I494">
        <v>0</v>
      </c>
      <c r="J494">
        <v>3</v>
      </c>
    </row>
    <row r="495" spans="1:11">
      <c r="A495" s="4">
        <f t="shared" si="39"/>
        <v>2026</v>
      </c>
      <c r="B495" s="4">
        <f t="shared" si="40"/>
        <v>3</v>
      </c>
      <c r="C495" s="1">
        <f t="shared" si="41"/>
        <v>46106</v>
      </c>
      <c r="D495">
        <v>1</v>
      </c>
      <c r="E495" s="9">
        <v>0.21805555555555556</v>
      </c>
      <c r="F495">
        <v>110</v>
      </c>
      <c r="G495" s="8">
        <f>SUM($H$354:$H495)</f>
        <v>2227</v>
      </c>
      <c r="H495" s="8">
        <v>22</v>
      </c>
      <c r="I495">
        <v>1</v>
      </c>
      <c r="J495">
        <v>5</v>
      </c>
    </row>
    <row r="496" spans="1:11">
      <c r="A496" s="4">
        <f t="shared" si="39"/>
        <v>2026</v>
      </c>
      <c r="B496" s="4">
        <f t="shared" si="40"/>
        <v>3</v>
      </c>
      <c r="C496" s="1">
        <f t="shared" si="41"/>
        <v>46107</v>
      </c>
      <c r="E496" s="9">
        <v>0.22916666666666666</v>
      </c>
      <c r="F496">
        <v>60</v>
      </c>
      <c r="G496" s="8">
        <f>SUM($H$354:$H496)</f>
        <v>2249</v>
      </c>
      <c r="H496" s="8">
        <v>22</v>
      </c>
    </row>
    <row r="497" spans="1:11">
      <c r="A497" s="4">
        <f t="shared" si="39"/>
        <v>2026</v>
      </c>
      <c r="B497" s="4">
        <f t="shared" si="40"/>
        <v>3</v>
      </c>
      <c r="C497" s="1">
        <f t="shared" si="41"/>
        <v>46108</v>
      </c>
      <c r="G497" s="8">
        <f>SUM($H$354:$H497)</f>
        <v>2249</v>
      </c>
      <c r="H497" s="8">
        <v>0</v>
      </c>
    </row>
    <row r="498" spans="1:11">
      <c r="A498" s="4">
        <f t="shared" si="39"/>
        <v>2026</v>
      </c>
      <c r="B498" s="4">
        <f t="shared" si="40"/>
        <v>3</v>
      </c>
      <c r="C498" s="1">
        <f t="shared" si="41"/>
        <v>46109</v>
      </c>
      <c r="G498" s="8">
        <f>SUM($H$354:$H498)</f>
        <v>2249</v>
      </c>
      <c r="H498" s="8">
        <v>0</v>
      </c>
    </row>
    <row r="499" spans="1:11">
      <c r="A499" s="4">
        <f t="shared" si="39"/>
        <v>2026</v>
      </c>
      <c r="B499" s="4">
        <f t="shared" si="40"/>
        <v>3</v>
      </c>
      <c r="C499" s="1">
        <f t="shared" si="41"/>
        <v>46110</v>
      </c>
      <c r="D499">
        <v>0</v>
      </c>
      <c r="G499" s="8">
        <f>SUM($H$354:$H499)</f>
        <v>2249</v>
      </c>
      <c r="H499" s="8">
        <v>0</v>
      </c>
    </row>
    <row r="500" spans="1:11">
      <c r="A500" s="4">
        <f t="shared" si="39"/>
        <v>2026</v>
      </c>
      <c r="B500" s="4">
        <f t="shared" si="40"/>
        <v>3</v>
      </c>
      <c r="C500" s="1">
        <f t="shared" si="41"/>
        <v>46111</v>
      </c>
      <c r="D500">
        <v>1</v>
      </c>
      <c r="G500" s="8">
        <f>SUM($H$354:$H500)</f>
        <v>2249</v>
      </c>
      <c r="H500" s="8">
        <v>0</v>
      </c>
      <c r="I500">
        <v>0</v>
      </c>
    </row>
    <row r="501" spans="1:11">
      <c r="A501" s="4">
        <f t="shared" si="39"/>
        <v>2026</v>
      </c>
      <c r="B501" s="4">
        <f t="shared" si="40"/>
        <v>3</v>
      </c>
      <c r="C501" s="1">
        <f t="shared" si="41"/>
        <v>46112</v>
      </c>
      <c r="D501">
        <v>1</v>
      </c>
      <c r="E501" s="9">
        <v>0.21180555555555555</v>
      </c>
      <c r="F501">
        <v>120</v>
      </c>
      <c r="G501" s="8">
        <f>SUM($H$354:$H501)</f>
        <v>2274</v>
      </c>
      <c r="H501" s="8">
        <v>25</v>
      </c>
      <c r="I501">
        <v>1</v>
      </c>
      <c r="J501">
        <v>5</v>
      </c>
    </row>
    <row r="502" spans="1:11">
      <c r="A502" s="4">
        <f t="shared" si="39"/>
        <v>2026</v>
      </c>
      <c r="B502" s="4">
        <f t="shared" si="40"/>
        <v>4</v>
      </c>
      <c r="C502" s="1">
        <f t="shared" si="41"/>
        <v>46113</v>
      </c>
      <c r="D502">
        <v>0</v>
      </c>
      <c r="E502" s="9">
        <v>0.1875</v>
      </c>
      <c r="F502">
        <v>120</v>
      </c>
      <c r="G502" s="8">
        <f>SUM($H$354:$H502)</f>
        <v>2296</v>
      </c>
      <c r="H502" s="8">
        <v>22</v>
      </c>
      <c r="I502">
        <v>1</v>
      </c>
      <c r="J502">
        <v>4</v>
      </c>
    </row>
    <row r="503" spans="1:11">
      <c r="A503" s="4">
        <f t="shared" si="39"/>
        <v>2026</v>
      </c>
      <c r="B503" s="4">
        <f t="shared" si="40"/>
        <v>4</v>
      </c>
      <c r="C503" s="1">
        <f t="shared" si="41"/>
        <v>46114</v>
      </c>
      <c r="D503">
        <v>1</v>
      </c>
      <c r="E503" s="9">
        <v>0.19583333333333333</v>
      </c>
      <c r="F503">
        <v>75</v>
      </c>
      <c r="G503" s="8">
        <f>SUM($H$354:$H503)</f>
        <v>2300</v>
      </c>
      <c r="H503" s="8">
        <v>4</v>
      </c>
      <c r="I503">
        <v>0</v>
      </c>
      <c r="J503">
        <v>0</v>
      </c>
    </row>
    <row r="504" spans="1:11">
      <c r="A504" s="4">
        <f t="shared" ref="A504:A567" si="42">YEAR(C504)</f>
        <v>2026</v>
      </c>
      <c r="B504" s="4">
        <f t="shared" ref="B504:B567" si="43">MONTH(C504)</f>
        <v>4</v>
      </c>
      <c r="C504" s="1">
        <f t="shared" si="41"/>
        <v>46115</v>
      </c>
      <c r="D504">
        <v>1</v>
      </c>
      <c r="E504" s="9">
        <v>0.19097222222222221</v>
      </c>
      <c r="F504">
        <v>90</v>
      </c>
      <c r="G504" s="8">
        <f>SUM($H$354:$H504)</f>
        <v>2310</v>
      </c>
      <c r="H504" s="8">
        <v>10</v>
      </c>
      <c r="I504">
        <v>1</v>
      </c>
      <c r="J504">
        <v>2</v>
      </c>
    </row>
    <row r="505" spans="1:11">
      <c r="A505" s="4">
        <f t="shared" si="42"/>
        <v>2026</v>
      </c>
      <c r="B505" s="4">
        <f t="shared" si="43"/>
        <v>4</v>
      </c>
      <c r="C505" s="1">
        <f t="shared" si="41"/>
        <v>46116</v>
      </c>
      <c r="D505">
        <v>1</v>
      </c>
      <c r="E505" s="9">
        <v>0.21527777777777779</v>
      </c>
      <c r="F505">
        <v>65</v>
      </c>
      <c r="G505" s="8">
        <f>SUM($H$354:$H505)</f>
        <v>2324</v>
      </c>
      <c r="H505" s="8">
        <v>14</v>
      </c>
      <c r="I505">
        <v>1</v>
      </c>
      <c r="J505">
        <v>1</v>
      </c>
    </row>
    <row r="506" spans="1:11">
      <c r="A506" s="4">
        <f t="shared" si="42"/>
        <v>2026</v>
      </c>
      <c r="B506" s="4">
        <f t="shared" si="43"/>
        <v>4</v>
      </c>
      <c r="C506" s="1">
        <f t="shared" si="41"/>
        <v>46117</v>
      </c>
      <c r="D506">
        <v>0</v>
      </c>
      <c r="E506" s="9">
        <v>0.19791666666666666</v>
      </c>
      <c r="F506">
        <v>130</v>
      </c>
      <c r="G506" s="8">
        <f>SUM($H$354:$H506)</f>
        <v>2340</v>
      </c>
      <c r="H506" s="8">
        <v>16</v>
      </c>
      <c r="I506">
        <v>1</v>
      </c>
      <c r="J506">
        <v>0</v>
      </c>
    </row>
    <row r="507" spans="1:11">
      <c r="A507" s="4">
        <f t="shared" si="42"/>
        <v>2026</v>
      </c>
      <c r="B507" s="4">
        <f t="shared" si="43"/>
        <v>4</v>
      </c>
      <c r="C507" s="1">
        <f t="shared" si="41"/>
        <v>46118</v>
      </c>
      <c r="D507">
        <v>1</v>
      </c>
      <c r="E507" s="9">
        <v>0.18888888888888888</v>
      </c>
      <c r="F507">
        <v>90</v>
      </c>
      <c r="G507" s="8">
        <f>SUM($H$354:$H507)</f>
        <v>2349</v>
      </c>
      <c r="H507" s="8">
        <v>9</v>
      </c>
      <c r="I507">
        <v>0</v>
      </c>
      <c r="J507">
        <v>0</v>
      </c>
    </row>
    <row r="508" spans="1:11">
      <c r="A508" s="4">
        <f t="shared" si="42"/>
        <v>2026</v>
      </c>
      <c r="B508" s="4">
        <f t="shared" si="43"/>
        <v>4</v>
      </c>
      <c r="C508" s="1">
        <f t="shared" si="41"/>
        <v>46119</v>
      </c>
      <c r="D508">
        <v>1</v>
      </c>
      <c r="E508" s="9">
        <v>0.20902777777777778</v>
      </c>
      <c r="F508">
        <v>60</v>
      </c>
      <c r="G508" s="8">
        <f>SUM($H$354:$H508)</f>
        <v>2360</v>
      </c>
      <c r="H508" s="8">
        <v>11</v>
      </c>
      <c r="I508">
        <v>1</v>
      </c>
      <c r="J508">
        <v>0</v>
      </c>
    </row>
    <row r="509" spans="1:11">
      <c r="A509" s="4">
        <f t="shared" si="42"/>
        <v>2026</v>
      </c>
      <c r="B509" s="4">
        <f t="shared" si="43"/>
        <v>4</v>
      </c>
      <c r="C509" s="1">
        <f t="shared" si="41"/>
        <v>46120</v>
      </c>
      <c r="D509">
        <v>1</v>
      </c>
      <c r="E509" s="9">
        <v>0.26041666666666669</v>
      </c>
      <c r="F509">
        <v>60</v>
      </c>
      <c r="G509" s="8">
        <f>SUM($H$354:$H509)</f>
        <v>2369</v>
      </c>
      <c r="H509" s="8">
        <v>9</v>
      </c>
      <c r="I509">
        <v>1</v>
      </c>
      <c r="J509">
        <v>1</v>
      </c>
    </row>
    <row r="510" spans="1:11">
      <c r="A510" s="4">
        <f t="shared" si="42"/>
        <v>2026</v>
      </c>
      <c r="B510" s="4">
        <f t="shared" si="43"/>
        <v>4</v>
      </c>
      <c r="C510" s="1">
        <f t="shared" si="41"/>
        <v>46121</v>
      </c>
      <c r="D510">
        <v>1</v>
      </c>
      <c r="E510" s="9">
        <v>0.22361111111111109</v>
      </c>
      <c r="F510">
        <v>45</v>
      </c>
      <c r="G510" s="8">
        <f>SUM($H$354:$H510)</f>
        <v>2376</v>
      </c>
      <c r="H510" s="8">
        <v>7</v>
      </c>
      <c r="I510">
        <v>0</v>
      </c>
      <c r="J510">
        <v>2</v>
      </c>
    </row>
    <row r="511" spans="1:11">
      <c r="A511" s="4">
        <f t="shared" si="42"/>
        <v>2026</v>
      </c>
      <c r="B511" s="4">
        <f t="shared" si="43"/>
        <v>4</v>
      </c>
      <c r="C511" s="1">
        <f t="shared" si="41"/>
        <v>46122</v>
      </c>
      <c r="D511">
        <v>1</v>
      </c>
      <c r="E511" s="9">
        <v>0.21319444444444444</v>
      </c>
      <c r="F511">
        <v>55</v>
      </c>
      <c r="G511" s="8">
        <f>SUM($H$354:$H511)</f>
        <v>2376</v>
      </c>
      <c r="H511" s="8">
        <v>0</v>
      </c>
      <c r="I511">
        <v>1</v>
      </c>
      <c r="J511">
        <v>2</v>
      </c>
    </row>
    <row r="512" spans="1:11">
      <c r="A512" s="4">
        <f t="shared" si="42"/>
        <v>2026</v>
      </c>
      <c r="B512" s="4">
        <f t="shared" si="43"/>
        <v>4</v>
      </c>
      <c r="C512" s="1">
        <f t="shared" si="41"/>
        <v>46123</v>
      </c>
      <c r="D512">
        <v>0</v>
      </c>
      <c r="E512" s="9">
        <v>0.23263888888888887</v>
      </c>
      <c r="F512">
        <v>110</v>
      </c>
      <c r="G512" s="8">
        <f>SUM($H$354:$H512)</f>
        <v>2376</v>
      </c>
      <c r="H512" s="8">
        <v>0</v>
      </c>
      <c r="I512">
        <v>1</v>
      </c>
      <c r="J512">
        <v>1</v>
      </c>
      <c r="K512" s="8" t="s">
        <v>110</v>
      </c>
    </row>
    <row r="513" spans="1:11">
      <c r="A513" s="4">
        <f t="shared" si="42"/>
        <v>2026</v>
      </c>
      <c r="B513" s="4">
        <f t="shared" si="43"/>
        <v>4</v>
      </c>
      <c r="C513" s="1">
        <f t="shared" si="41"/>
        <v>46124</v>
      </c>
      <c r="D513">
        <v>1</v>
      </c>
      <c r="E513" s="9">
        <v>0.20972222222222223</v>
      </c>
      <c r="F513">
        <v>120</v>
      </c>
      <c r="G513" s="8">
        <f>SUM($H$354:$H513)</f>
        <v>2376</v>
      </c>
      <c r="H513" s="8">
        <v>0</v>
      </c>
      <c r="I513">
        <v>1</v>
      </c>
      <c r="J513">
        <v>0</v>
      </c>
    </row>
    <row r="514" spans="1:11">
      <c r="A514" s="4">
        <f t="shared" si="42"/>
        <v>2026</v>
      </c>
      <c r="B514" s="4">
        <f t="shared" si="43"/>
        <v>4</v>
      </c>
      <c r="C514" s="1">
        <f t="shared" si="41"/>
        <v>46125</v>
      </c>
      <c r="D514">
        <v>1</v>
      </c>
      <c r="E514" s="9">
        <v>0.21111111111111111</v>
      </c>
      <c r="F514">
        <v>90</v>
      </c>
      <c r="G514" s="8">
        <f>SUM($H$354:$H514)</f>
        <v>2376</v>
      </c>
      <c r="H514" s="8">
        <v>0</v>
      </c>
      <c r="I514">
        <v>1</v>
      </c>
      <c r="J514">
        <v>4</v>
      </c>
    </row>
    <row r="515" spans="1:11">
      <c r="A515" s="4">
        <f t="shared" si="42"/>
        <v>2026</v>
      </c>
      <c r="B515" s="4">
        <f t="shared" si="43"/>
        <v>4</v>
      </c>
      <c r="C515" s="1">
        <f t="shared" si="41"/>
        <v>46126</v>
      </c>
      <c r="D515">
        <v>1</v>
      </c>
      <c r="E515" s="9">
        <v>0.20902777777777778</v>
      </c>
      <c r="F515">
        <v>120</v>
      </c>
      <c r="G515" s="8">
        <f>SUM($H$354:$H515)</f>
        <v>2376</v>
      </c>
      <c r="H515" s="8">
        <v>0</v>
      </c>
      <c r="I515">
        <v>1</v>
      </c>
      <c r="J515">
        <v>0</v>
      </c>
    </row>
    <row r="516" spans="1:11">
      <c r="A516" s="4">
        <f t="shared" si="42"/>
        <v>2026</v>
      </c>
      <c r="B516" s="4">
        <f t="shared" si="43"/>
        <v>4</v>
      </c>
      <c r="C516" s="1">
        <f t="shared" si="41"/>
        <v>46127</v>
      </c>
      <c r="D516">
        <v>1</v>
      </c>
      <c r="E516" s="9">
        <v>0.18958333333333333</v>
      </c>
      <c r="F516">
        <v>120</v>
      </c>
      <c r="G516" s="8">
        <f>SUM($H$354:$H516)</f>
        <v>2376</v>
      </c>
      <c r="H516" s="8">
        <v>0</v>
      </c>
      <c r="I516">
        <v>1</v>
      </c>
      <c r="J516">
        <v>1</v>
      </c>
    </row>
    <row r="517" spans="1:11">
      <c r="A517" s="4">
        <f t="shared" si="42"/>
        <v>2026</v>
      </c>
      <c r="B517" s="4">
        <f t="shared" si="43"/>
        <v>4</v>
      </c>
      <c r="C517" s="1">
        <f t="shared" si="41"/>
        <v>46128</v>
      </c>
      <c r="D517">
        <v>1</v>
      </c>
      <c r="E517" s="9">
        <v>0.20972222222222223</v>
      </c>
      <c r="F517">
        <v>120</v>
      </c>
      <c r="G517" s="8">
        <f>SUM($H$354:$H517)</f>
        <v>2376</v>
      </c>
      <c r="H517" s="8">
        <v>0</v>
      </c>
      <c r="I517">
        <v>1</v>
      </c>
      <c r="J517">
        <v>3</v>
      </c>
    </row>
    <row r="518" spans="1:11">
      <c r="A518" s="4">
        <f t="shared" si="42"/>
        <v>2026</v>
      </c>
      <c r="B518" s="4">
        <f t="shared" si="43"/>
        <v>4</v>
      </c>
      <c r="C518" s="1">
        <f t="shared" si="41"/>
        <v>46129</v>
      </c>
      <c r="D518">
        <v>1</v>
      </c>
      <c r="E518" s="9">
        <v>0.21180555555555555</v>
      </c>
      <c r="F518">
        <v>120</v>
      </c>
      <c r="G518" s="8">
        <f>SUM($H$354:$H518)</f>
        <v>2376</v>
      </c>
      <c r="H518" s="8">
        <v>0</v>
      </c>
      <c r="I518">
        <v>0</v>
      </c>
      <c r="J518">
        <v>2</v>
      </c>
    </row>
    <row r="519" spans="1:11">
      <c r="A519" s="4">
        <f t="shared" si="42"/>
        <v>2026</v>
      </c>
      <c r="B519" s="4">
        <f t="shared" si="43"/>
        <v>4</v>
      </c>
      <c r="C519" s="1">
        <f t="shared" si="41"/>
        <v>46130</v>
      </c>
      <c r="D519">
        <v>1</v>
      </c>
      <c r="E519" s="9">
        <v>0.21180555555555555</v>
      </c>
      <c r="F519">
        <v>120</v>
      </c>
      <c r="G519" s="8">
        <f>SUM($H$354:$H519)</f>
        <v>2376</v>
      </c>
      <c r="H519" s="8">
        <v>0</v>
      </c>
      <c r="I519">
        <v>1</v>
      </c>
      <c r="J519">
        <v>0</v>
      </c>
    </row>
    <row r="520" spans="1:11">
      <c r="A520" s="4">
        <f t="shared" si="42"/>
        <v>2026</v>
      </c>
      <c r="B520" s="4">
        <f t="shared" si="43"/>
        <v>4</v>
      </c>
      <c r="C520" s="1">
        <f t="shared" si="41"/>
        <v>46131</v>
      </c>
      <c r="D520">
        <v>0</v>
      </c>
      <c r="E520" s="9">
        <v>0.19097222222222221</v>
      </c>
      <c r="F520">
        <v>120</v>
      </c>
      <c r="G520" s="8">
        <f>SUM($H$354:$H520)</f>
        <v>2376</v>
      </c>
      <c r="H520" s="8">
        <v>0</v>
      </c>
      <c r="I520" s="8">
        <v>1</v>
      </c>
      <c r="J520" s="8">
        <v>0</v>
      </c>
    </row>
    <row r="521" spans="1:11">
      <c r="A521" s="4">
        <f t="shared" si="42"/>
        <v>2026</v>
      </c>
      <c r="B521" s="4">
        <f t="shared" si="43"/>
        <v>4</v>
      </c>
      <c r="C521" s="1">
        <f t="shared" ref="C521:C584" si="44">C520+1</f>
        <v>46132</v>
      </c>
      <c r="D521">
        <v>1</v>
      </c>
      <c r="E521" s="9">
        <v>0.21458333333333335</v>
      </c>
      <c r="F521">
        <v>60</v>
      </c>
      <c r="G521" s="8">
        <f>SUM($H$354:$H521)</f>
        <v>2376</v>
      </c>
      <c r="H521" s="8">
        <v>0</v>
      </c>
      <c r="I521" s="8">
        <v>1</v>
      </c>
      <c r="J521" s="8">
        <v>0</v>
      </c>
    </row>
    <row r="522" spans="1:11">
      <c r="A522" s="4">
        <f t="shared" si="42"/>
        <v>2026</v>
      </c>
      <c r="B522" s="4">
        <f t="shared" si="43"/>
        <v>4</v>
      </c>
      <c r="C522" s="1">
        <f t="shared" si="44"/>
        <v>46133</v>
      </c>
      <c r="D522">
        <v>1</v>
      </c>
      <c r="E522" s="9">
        <v>0.21458333333333335</v>
      </c>
      <c r="F522">
        <v>50</v>
      </c>
      <c r="G522" s="8">
        <f>SUM($H$354:$H522)</f>
        <v>2376</v>
      </c>
      <c r="H522" s="8">
        <v>0</v>
      </c>
      <c r="I522" s="8">
        <v>1</v>
      </c>
      <c r="J522" s="8">
        <v>0</v>
      </c>
    </row>
    <row r="523" spans="1:11">
      <c r="A523" s="4">
        <f t="shared" si="42"/>
        <v>2026</v>
      </c>
      <c r="B523" s="4">
        <f t="shared" si="43"/>
        <v>4</v>
      </c>
      <c r="C523" s="1">
        <f t="shared" si="44"/>
        <v>46134</v>
      </c>
      <c r="D523">
        <v>1</v>
      </c>
      <c r="E523" s="9">
        <v>0.26041666666666669</v>
      </c>
      <c r="F523">
        <v>0</v>
      </c>
      <c r="G523" s="8">
        <f>SUM($H$354:$H523)</f>
        <v>2376</v>
      </c>
      <c r="H523" s="8">
        <v>0</v>
      </c>
      <c r="I523" s="8">
        <v>1</v>
      </c>
      <c r="J523">
        <v>3</v>
      </c>
    </row>
    <row r="524" spans="1:11">
      <c r="A524" s="4">
        <f t="shared" si="42"/>
        <v>2026</v>
      </c>
      <c r="B524" s="4">
        <f t="shared" si="43"/>
        <v>4</v>
      </c>
      <c r="C524" s="1">
        <f t="shared" si="44"/>
        <v>46135</v>
      </c>
      <c r="D524">
        <v>1</v>
      </c>
      <c r="E524" s="9">
        <v>0.22569444444444445</v>
      </c>
      <c r="F524">
        <v>95</v>
      </c>
      <c r="G524" s="8">
        <f>SUM($H$354:$H524)</f>
        <v>2376</v>
      </c>
      <c r="H524" s="8">
        <v>0</v>
      </c>
      <c r="I524" s="8">
        <v>1</v>
      </c>
      <c r="J524">
        <v>2</v>
      </c>
    </row>
    <row r="525" spans="1:11">
      <c r="A525" s="4">
        <f t="shared" si="42"/>
        <v>2026</v>
      </c>
      <c r="B525" s="4">
        <f t="shared" si="43"/>
        <v>4</v>
      </c>
      <c r="C525" s="1">
        <f t="shared" si="44"/>
        <v>46136</v>
      </c>
      <c r="D525">
        <v>1</v>
      </c>
      <c r="E525" s="9">
        <v>0.22708333333333333</v>
      </c>
      <c r="F525">
        <v>40</v>
      </c>
      <c r="G525" s="8">
        <f>SUM($H$354:$H525)</f>
        <v>2376</v>
      </c>
      <c r="H525" s="8">
        <v>0</v>
      </c>
      <c r="I525" s="8">
        <v>1</v>
      </c>
      <c r="J525">
        <v>0</v>
      </c>
    </row>
    <row r="526" spans="1:11">
      <c r="A526" s="4">
        <f t="shared" si="42"/>
        <v>2026</v>
      </c>
      <c r="B526" s="4">
        <f t="shared" si="43"/>
        <v>4</v>
      </c>
      <c r="C526" s="1">
        <f t="shared" si="44"/>
        <v>46137</v>
      </c>
      <c r="D526">
        <v>0</v>
      </c>
      <c r="G526" s="8">
        <f>SUM($H$354:$H526)</f>
        <v>2376</v>
      </c>
      <c r="H526" s="8">
        <v>0</v>
      </c>
      <c r="I526" s="8">
        <v>1</v>
      </c>
      <c r="J526" s="8">
        <v>0</v>
      </c>
    </row>
    <row r="527" spans="1:11">
      <c r="A527" s="4">
        <f t="shared" si="42"/>
        <v>2026</v>
      </c>
      <c r="B527" s="4">
        <f t="shared" si="43"/>
        <v>4</v>
      </c>
      <c r="C527" s="1">
        <f t="shared" si="44"/>
        <v>46138</v>
      </c>
      <c r="D527">
        <v>0</v>
      </c>
      <c r="E527" s="9">
        <v>0.27083333333333331</v>
      </c>
      <c r="F527">
        <v>0</v>
      </c>
      <c r="G527" s="8">
        <f>SUM($H$354:$H527)</f>
        <v>2376</v>
      </c>
      <c r="H527" s="8">
        <v>0</v>
      </c>
      <c r="I527" s="8">
        <v>1</v>
      </c>
      <c r="J527" s="8">
        <v>0</v>
      </c>
      <c r="K527" s="8" t="s">
        <v>111</v>
      </c>
    </row>
    <row r="528" spans="1:11">
      <c r="A528" s="4">
        <f t="shared" si="42"/>
        <v>2026</v>
      </c>
      <c r="B528" s="4">
        <f t="shared" si="43"/>
        <v>4</v>
      </c>
      <c r="C528" s="1">
        <f t="shared" si="44"/>
        <v>46139</v>
      </c>
      <c r="D528">
        <v>1</v>
      </c>
      <c r="E528" s="9">
        <v>0.20833333333333334</v>
      </c>
      <c r="F528">
        <v>60</v>
      </c>
      <c r="G528" s="8">
        <f>SUM($H$354:$H528)</f>
        <v>2376</v>
      </c>
      <c r="H528" s="8">
        <v>0</v>
      </c>
      <c r="I528">
        <v>1</v>
      </c>
      <c r="J528" s="8">
        <v>0</v>
      </c>
    </row>
    <row r="529" spans="1:11">
      <c r="A529" s="4">
        <f t="shared" si="42"/>
        <v>2026</v>
      </c>
      <c r="B529" s="4">
        <f t="shared" si="43"/>
        <v>4</v>
      </c>
      <c r="C529" s="1">
        <f t="shared" si="44"/>
        <v>46140</v>
      </c>
      <c r="D529">
        <v>0</v>
      </c>
      <c r="E529" s="9">
        <v>0.18888888888888888</v>
      </c>
      <c r="F529">
        <v>300</v>
      </c>
      <c r="G529" s="8">
        <f>SUM($H$354:$H529)</f>
        <v>2376</v>
      </c>
      <c r="H529" s="8">
        <v>0</v>
      </c>
      <c r="I529">
        <v>1</v>
      </c>
      <c r="J529">
        <v>3</v>
      </c>
      <c r="K529" s="8" t="s">
        <v>112</v>
      </c>
    </row>
    <row r="530" spans="1:11">
      <c r="A530" s="4">
        <f t="shared" si="42"/>
        <v>2026</v>
      </c>
      <c r="B530" s="4">
        <f t="shared" si="43"/>
        <v>4</v>
      </c>
      <c r="C530" s="1">
        <f t="shared" si="44"/>
        <v>46141</v>
      </c>
      <c r="D530">
        <v>1</v>
      </c>
      <c r="E530" s="9">
        <v>0.19791666666666666</v>
      </c>
      <c r="F530">
        <v>345</v>
      </c>
      <c r="G530" s="8">
        <f>SUM($H$354:$H530)</f>
        <v>2376</v>
      </c>
      <c r="H530" s="8">
        <v>0</v>
      </c>
      <c r="I530">
        <v>0</v>
      </c>
      <c r="J530">
        <v>2</v>
      </c>
    </row>
    <row r="531" spans="1:11">
      <c r="A531" s="4">
        <f t="shared" si="42"/>
        <v>2026</v>
      </c>
      <c r="B531" s="4">
        <f t="shared" si="43"/>
        <v>4</v>
      </c>
      <c r="C531" s="1">
        <f t="shared" si="44"/>
        <v>46142</v>
      </c>
      <c r="D531">
        <v>1</v>
      </c>
      <c r="E531" s="9">
        <v>0.20972222222222223</v>
      </c>
      <c r="F531">
        <v>355</v>
      </c>
      <c r="G531" s="8">
        <f>SUM($H$354:$H531)</f>
        <v>2376</v>
      </c>
      <c r="H531" s="8">
        <v>0</v>
      </c>
      <c r="I531">
        <v>1</v>
      </c>
      <c r="J531">
        <v>4</v>
      </c>
    </row>
    <row r="532" spans="1:11">
      <c r="A532" s="4">
        <f t="shared" si="42"/>
        <v>2026</v>
      </c>
      <c r="B532" s="4">
        <f t="shared" si="43"/>
        <v>5</v>
      </c>
      <c r="C532" s="1">
        <f t="shared" si="44"/>
        <v>46143</v>
      </c>
      <c r="D532">
        <v>0</v>
      </c>
      <c r="E532" s="9">
        <v>0.19930555555555554</v>
      </c>
      <c r="F532">
        <v>405</v>
      </c>
      <c r="G532" s="8">
        <f>SUM($H$354:$H532)</f>
        <v>2376</v>
      </c>
      <c r="H532" s="8">
        <v>0</v>
      </c>
      <c r="I532" s="8">
        <v>1</v>
      </c>
      <c r="J532">
        <v>3</v>
      </c>
    </row>
    <row r="533" spans="1:11">
      <c r="A533" s="4">
        <f t="shared" si="42"/>
        <v>2026</v>
      </c>
      <c r="B533" s="4">
        <f t="shared" si="43"/>
        <v>5</v>
      </c>
      <c r="C533" s="1">
        <f t="shared" si="44"/>
        <v>46144</v>
      </c>
      <c r="E533" s="9">
        <v>0.22013888888888888</v>
      </c>
      <c r="F533">
        <v>60</v>
      </c>
      <c r="G533" s="8">
        <f>SUM($H$354:$H533)</f>
        <v>2376</v>
      </c>
      <c r="H533" s="8">
        <v>0</v>
      </c>
      <c r="I533" s="8">
        <v>1</v>
      </c>
      <c r="J533">
        <v>0</v>
      </c>
    </row>
    <row r="534" spans="1:11">
      <c r="A534" s="4">
        <f t="shared" si="42"/>
        <v>2026</v>
      </c>
      <c r="B534" s="4">
        <f t="shared" si="43"/>
        <v>5</v>
      </c>
      <c r="C534" s="1">
        <f t="shared" si="44"/>
        <v>46145</v>
      </c>
      <c r="E534" s="9">
        <v>0.29166666666666669</v>
      </c>
      <c r="F534">
        <v>0</v>
      </c>
      <c r="G534" s="8">
        <f>SUM($H$354:$H534)</f>
        <v>2376</v>
      </c>
      <c r="H534" s="8">
        <v>0</v>
      </c>
      <c r="I534">
        <v>1</v>
      </c>
      <c r="J534" s="8">
        <v>0</v>
      </c>
    </row>
    <row r="535" spans="1:11">
      <c r="A535" s="4">
        <f t="shared" si="42"/>
        <v>2026</v>
      </c>
      <c r="B535" s="4">
        <f t="shared" si="43"/>
        <v>5</v>
      </c>
      <c r="C535" s="1">
        <f t="shared" si="44"/>
        <v>46146</v>
      </c>
      <c r="D535">
        <v>1</v>
      </c>
      <c r="E535" s="9">
        <v>0.29166666666666669</v>
      </c>
      <c r="F535">
        <v>0</v>
      </c>
      <c r="G535" s="8">
        <f>SUM($H$354:$H535)</f>
        <v>2376</v>
      </c>
      <c r="H535" s="8">
        <v>0</v>
      </c>
      <c r="I535">
        <v>1</v>
      </c>
      <c r="J535" s="8">
        <v>0</v>
      </c>
    </row>
    <row r="536" spans="1:11">
      <c r="A536" s="4">
        <f t="shared" si="42"/>
        <v>2026</v>
      </c>
      <c r="B536" s="4">
        <f t="shared" si="43"/>
        <v>5</v>
      </c>
      <c r="C536" s="1">
        <f t="shared" si="44"/>
        <v>46147</v>
      </c>
      <c r="D536">
        <v>1</v>
      </c>
      <c r="E536" s="9">
        <v>0.23402777777777781</v>
      </c>
      <c r="F536">
        <v>60</v>
      </c>
      <c r="G536" s="8">
        <f>SUM($H$354:$H536)</f>
        <v>2376</v>
      </c>
      <c r="H536" s="8">
        <v>0</v>
      </c>
      <c r="I536">
        <v>0</v>
      </c>
      <c r="J536" s="8">
        <v>0</v>
      </c>
    </row>
    <row r="537" spans="1:11">
      <c r="A537" s="4">
        <f t="shared" si="42"/>
        <v>2026</v>
      </c>
      <c r="B537" s="4">
        <f t="shared" si="43"/>
        <v>5</v>
      </c>
      <c r="C537" s="1">
        <f t="shared" si="44"/>
        <v>46148</v>
      </c>
      <c r="D537">
        <v>1</v>
      </c>
      <c r="E537" s="9">
        <v>0.2298611111111111</v>
      </c>
      <c r="F537">
        <v>55</v>
      </c>
      <c r="G537" s="8">
        <f>SUM($H$354:$H537)</f>
        <v>2376</v>
      </c>
      <c r="H537" s="8">
        <v>0</v>
      </c>
      <c r="I537">
        <v>1</v>
      </c>
      <c r="J537" s="8">
        <v>0</v>
      </c>
    </row>
    <row r="538" spans="1:11">
      <c r="A538" s="4">
        <f t="shared" si="42"/>
        <v>2026</v>
      </c>
      <c r="B538" s="4">
        <f t="shared" si="43"/>
        <v>5</v>
      </c>
      <c r="C538" s="1">
        <f t="shared" si="44"/>
        <v>46149</v>
      </c>
      <c r="D538">
        <v>1</v>
      </c>
      <c r="E538" s="9">
        <v>0.16666666666666666</v>
      </c>
      <c r="F538">
        <v>390</v>
      </c>
      <c r="G538" s="8">
        <f>SUM($H$354:$H538)</f>
        <v>2376</v>
      </c>
      <c r="H538" s="8">
        <v>0</v>
      </c>
      <c r="I538">
        <v>1</v>
      </c>
      <c r="J538" s="8">
        <v>0</v>
      </c>
    </row>
    <row r="539" spans="1:11">
      <c r="A539" s="4">
        <f t="shared" si="42"/>
        <v>2026</v>
      </c>
      <c r="B539" s="4">
        <f t="shared" si="43"/>
        <v>5</v>
      </c>
      <c r="C539" s="1">
        <f t="shared" si="44"/>
        <v>46150</v>
      </c>
      <c r="D539">
        <v>0</v>
      </c>
      <c r="E539" s="9">
        <v>0.18888888888888888</v>
      </c>
      <c r="F539">
        <v>270</v>
      </c>
      <c r="G539" s="8">
        <f>SUM($H$354:$H539)</f>
        <v>2376</v>
      </c>
      <c r="H539" s="8">
        <v>0</v>
      </c>
      <c r="I539">
        <v>0</v>
      </c>
      <c r="J539" s="8">
        <v>0</v>
      </c>
      <c r="K539" s="8" t="s">
        <v>113</v>
      </c>
    </row>
    <row r="540" spans="1:11">
      <c r="A540" s="4">
        <f t="shared" si="42"/>
        <v>2026</v>
      </c>
      <c r="B540" s="4">
        <f t="shared" si="43"/>
        <v>5</v>
      </c>
      <c r="C540" s="1">
        <f t="shared" si="44"/>
        <v>46151</v>
      </c>
      <c r="D540">
        <v>1</v>
      </c>
      <c r="E540" s="9">
        <v>0.19236111111111112</v>
      </c>
      <c r="F540">
        <v>100</v>
      </c>
      <c r="G540" s="8">
        <f>SUM($H$354:$H540)</f>
        <v>2376</v>
      </c>
      <c r="H540" s="8">
        <v>0</v>
      </c>
      <c r="I540">
        <v>1</v>
      </c>
      <c r="J540" s="8">
        <v>0</v>
      </c>
    </row>
    <row r="541" spans="1:11">
      <c r="A541" s="4">
        <f t="shared" si="42"/>
        <v>2026</v>
      </c>
      <c r="B541" s="4">
        <f t="shared" si="43"/>
        <v>5</v>
      </c>
      <c r="C541" s="1">
        <f t="shared" si="44"/>
        <v>46152</v>
      </c>
      <c r="D541" s="8">
        <v>1</v>
      </c>
      <c r="E541" s="9">
        <v>0.26041666666666669</v>
      </c>
      <c r="F541">
        <v>0</v>
      </c>
      <c r="G541" s="8">
        <f>SUM($H$354:$H541)</f>
        <v>2376</v>
      </c>
      <c r="H541" s="8">
        <v>0</v>
      </c>
      <c r="I541" s="8">
        <v>1</v>
      </c>
      <c r="J541" s="8">
        <v>0</v>
      </c>
    </row>
    <row r="542" spans="1:11">
      <c r="A542" s="4">
        <f t="shared" si="42"/>
        <v>2026</v>
      </c>
      <c r="B542" s="4">
        <f t="shared" si="43"/>
        <v>5</v>
      </c>
      <c r="C542" s="1">
        <f t="shared" si="44"/>
        <v>46153</v>
      </c>
      <c r="D542" s="8">
        <v>1</v>
      </c>
      <c r="E542" s="9">
        <v>0.26041666666666669</v>
      </c>
      <c r="F542">
        <v>60</v>
      </c>
      <c r="G542" s="8">
        <f>SUM($H$354:$H542)</f>
        <v>2376</v>
      </c>
      <c r="H542" s="8">
        <v>0</v>
      </c>
      <c r="I542" s="8">
        <v>1</v>
      </c>
      <c r="J542" s="8">
        <v>0</v>
      </c>
    </row>
    <row r="543" spans="1:11">
      <c r="A543" s="4">
        <f t="shared" si="42"/>
        <v>2026</v>
      </c>
      <c r="B543" s="4">
        <f t="shared" si="43"/>
        <v>5</v>
      </c>
      <c r="C543" s="1">
        <f t="shared" si="44"/>
        <v>46154</v>
      </c>
      <c r="D543" s="8">
        <v>1</v>
      </c>
      <c r="E543" s="9">
        <v>0.26041666666666669</v>
      </c>
      <c r="F543">
        <v>60</v>
      </c>
      <c r="G543" s="8">
        <f>SUM($H$354:$H543)</f>
        <v>2376</v>
      </c>
      <c r="H543" s="8">
        <v>0</v>
      </c>
      <c r="I543" s="8">
        <v>1</v>
      </c>
      <c r="J543" s="8">
        <v>0</v>
      </c>
    </row>
    <row r="544" spans="1:11">
      <c r="A544" s="4">
        <f t="shared" si="42"/>
        <v>2026</v>
      </c>
      <c r="B544" s="4">
        <f t="shared" si="43"/>
        <v>5</v>
      </c>
      <c r="C544" s="1">
        <f t="shared" si="44"/>
        <v>46155</v>
      </c>
      <c r="D544">
        <v>1</v>
      </c>
      <c r="E544" s="9">
        <v>0.1875</v>
      </c>
      <c r="F544">
        <v>75</v>
      </c>
      <c r="G544" s="8">
        <f>SUM($H$354:$H544)</f>
        <v>2376</v>
      </c>
      <c r="H544" s="8">
        <v>0</v>
      </c>
      <c r="I544" s="8">
        <v>1</v>
      </c>
      <c r="J544">
        <v>0</v>
      </c>
    </row>
    <row r="545" spans="1:11">
      <c r="A545" s="4">
        <f t="shared" si="42"/>
        <v>2026</v>
      </c>
      <c r="B545" s="4">
        <f t="shared" si="43"/>
        <v>5</v>
      </c>
      <c r="C545" s="1">
        <f t="shared" si="44"/>
        <v>46156</v>
      </c>
      <c r="D545">
        <v>1</v>
      </c>
      <c r="E545" s="9">
        <v>0.18888888888888888</v>
      </c>
      <c r="F545">
        <v>105</v>
      </c>
      <c r="G545" s="8">
        <f>SUM($H$354:$H545)</f>
        <v>2376</v>
      </c>
      <c r="H545" s="8">
        <v>0</v>
      </c>
      <c r="I545">
        <v>0</v>
      </c>
      <c r="J545">
        <v>3</v>
      </c>
    </row>
    <row r="546" spans="1:11">
      <c r="A546" s="4">
        <f t="shared" si="42"/>
        <v>2026</v>
      </c>
      <c r="B546" s="4">
        <f t="shared" si="43"/>
        <v>5</v>
      </c>
      <c r="C546" s="1">
        <f t="shared" si="44"/>
        <v>46157</v>
      </c>
      <c r="D546">
        <v>1</v>
      </c>
      <c r="E546" s="9">
        <v>0.18888888888888888</v>
      </c>
      <c r="F546">
        <v>90</v>
      </c>
      <c r="G546" s="8">
        <f>SUM($H$354:$H546)</f>
        <v>2376</v>
      </c>
      <c r="H546" s="8">
        <v>0</v>
      </c>
      <c r="I546">
        <v>1</v>
      </c>
      <c r="J546">
        <v>3</v>
      </c>
    </row>
    <row r="547" spans="1:11">
      <c r="A547" s="4">
        <f t="shared" si="42"/>
        <v>2026</v>
      </c>
      <c r="B547" s="4">
        <f t="shared" si="43"/>
        <v>5</v>
      </c>
      <c r="C547" s="1">
        <f t="shared" si="44"/>
        <v>46158</v>
      </c>
      <c r="D547">
        <v>0</v>
      </c>
      <c r="E547" s="9">
        <v>0.19722222222222222</v>
      </c>
      <c r="F547">
        <v>0</v>
      </c>
      <c r="G547" s="8">
        <f>SUM($H$354:$H547)</f>
        <v>2376</v>
      </c>
      <c r="H547" s="8">
        <v>0</v>
      </c>
      <c r="I547" s="8">
        <v>1</v>
      </c>
      <c r="J547">
        <v>0</v>
      </c>
      <c r="K547" s="8" t="s">
        <v>114</v>
      </c>
    </row>
    <row r="548" spans="1:11">
      <c r="A548" s="4">
        <f t="shared" si="42"/>
        <v>2026</v>
      </c>
      <c r="B548" s="4">
        <f t="shared" si="43"/>
        <v>5</v>
      </c>
      <c r="C548" s="1">
        <f t="shared" si="44"/>
        <v>46159</v>
      </c>
      <c r="D548">
        <v>1</v>
      </c>
      <c r="E548" s="9">
        <v>0.21111111111111111</v>
      </c>
      <c r="F548">
        <v>75</v>
      </c>
      <c r="G548" s="8">
        <f>SUM($H$354:$H548)</f>
        <v>2376</v>
      </c>
      <c r="H548" s="8">
        <v>0</v>
      </c>
      <c r="I548" s="8">
        <v>1</v>
      </c>
      <c r="J548" s="8">
        <v>0</v>
      </c>
    </row>
    <row r="549" spans="1:11">
      <c r="A549" s="4">
        <f t="shared" si="42"/>
        <v>2026</v>
      </c>
      <c r="B549" s="4">
        <f t="shared" si="43"/>
        <v>5</v>
      </c>
      <c r="C549" s="1">
        <f t="shared" si="44"/>
        <v>46160</v>
      </c>
      <c r="D549">
        <v>1</v>
      </c>
      <c r="E549" s="9">
        <v>0.22222222222222221</v>
      </c>
      <c r="F549">
        <v>105</v>
      </c>
      <c r="G549" s="8">
        <f>SUM($H$354:$H549)</f>
        <v>2376</v>
      </c>
      <c r="H549" s="8">
        <v>0</v>
      </c>
      <c r="I549" s="8">
        <v>1</v>
      </c>
      <c r="J549" s="8">
        <v>0</v>
      </c>
    </row>
    <row r="550" spans="1:11">
      <c r="A550" s="4">
        <f t="shared" si="42"/>
        <v>2026</v>
      </c>
      <c r="B550" s="4">
        <f t="shared" si="43"/>
        <v>5</v>
      </c>
      <c r="C550" s="1">
        <f t="shared" si="44"/>
        <v>46161</v>
      </c>
      <c r="D550">
        <v>1</v>
      </c>
      <c r="E550" s="9">
        <v>0.20902777777777778</v>
      </c>
      <c r="F550">
        <v>60</v>
      </c>
      <c r="G550" s="8">
        <f>SUM($H$354:$H550)</f>
        <v>2376</v>
      </c>
      <c r="H550" s="8">
        <v>0</v>
      </c>
      <c r="I550" s="8">
        <v>1</v>
      </c>
      <c r="J550" s="8">
        <v>2</v>
      </c>
    </row>
    <row r="551" spans="1:11">
      <c r="A551" s="4">
        <f t="shared" si="42"/>
        <v>2026</v>
      </c>
      <c r="B551" s="4">
        <f t="shared" si="43"/>
        <v>5</v>
      </c>
      <c r="C551" s="1">
        <f t="shared" si="44"/>
        <v>46162</v>
      </c>
      <c r="D551">
        <v>0</v>
      </c>
      <c r="E551" s="9">
        <v>0.20902777777777778</v>
      </c>
      <c r="F551">
        <v>90</v>
      </c>
      <c r="G551" s="8">
        <f>SUM($H$354:$H551)</f>
        <v>2376</v>
      </c>
      <c r="H551" s="8">
        <v>0</v>
      </c>
      <c r="I551">
        <v>1</v>
      </c>
      <c r="J551">
        <v>2</v>
      </c>
    </row>
    <row r="552" spans="1:11">
      <c r="A552" s="4">
        <f t="shared" si="42"/>
        <v>2026</v>
      </c>
      <c r="B552" s="4">
        <f t="shared" si="43"/>
        <v>5</v>
      </c>
      <c r="C552" s="1">
        <f t="shared" si="44"/>
        <v>46163</v>
      </c>
      <c r="D552">
        <v>1</v>
      </c>
      <c r="E552" s="9">
        <v>0.18888888888888888</v>
      </c>
      <c r="F552">
        <v>135</v>
      </c>
      <c r="G552" s="8">
        <f>SUM($H$354:$H552)</f>
        <v>2376</v>
      </c>
      <c r="H552" s="8">
        <v>0</v>
      </c>
      <c r="I552">
        <v>1</v>
      </c>
      <c r="J552">
        <v>3</v>
      </c>
    </row>
    <row r="553" spans="1:11">
      <c r="A553" s="4">
        <f t="shared" si="42"/>
        <v>2026</v>
      </c>
      <c r="B553" s="4">
        <f t="shared" si="43"/>
        <v>5</v>
      </c>
      <c r="C553" s="1">
        <f t="shared" si="44"/>
        <v>46164</v>
      </c>
      <c r="D553">
        <v>1</v>
      </c>
      <c r="E553" s="9">
        <v>0.22847222222222222</v>
      </c>
      <c r="F553">
        <v>100</v>
      </c>
      <c r="G553" s="8">
        <f>SUM($H$354:$H553)</f>
        <v>2376</v>
      </c>
      <c r="H553" s="8">
        <v>0</v>
      </c>
      <c r="I553" s="8">
        <v>1</v>
      </c>
      <c r="J553" s="8">
        <v>2</v>
      </c>
    </row>
    <row r="554" spans="1:11">
      <c r="A554" s="4">
        <f t="shared" si="42"/>
        <v>2026</v>
      </c>
      <c r="B554" s="4">
        <f t="shared" si="43"/>
        <v>5</v>
      </c>
      <c r="C554" s="1">
        <f t="shared" si="44"/>
        <v>46165</v>
      </c>
      <c r="D554">
        <v>1</v>
      </c>
      <c r="E554" s="9">
        <v>0.21875</v>
      </c>
      <c r="F554">
        <v>70</v>
      </c>
      <c r="G554" s="8">
        <f>SUM($H$354:$H554)</f>
        <v>2376</v>
      </c>
      <c r="H554" s="8">
        <v>0</v>
      </c>
      <c r="I554" s="8">
        <v>1</v>
      </c>
      <c r="J554" s="8">
        <v>0</v>
      </c>
    </row>
    <row r="555" spans="1:11">
      <c r="A555" s="4">
        <f t="shared" si="42"/>
        <v>2026</v>
      </c>
      <c r="B555" s="4">
        <f t="shared" si="43"/>
        <v>5</v>
      </c>
      <c r="C555" s="1">
        <f t="shared" si="44"/>
        <v>46166</v>
      </c>
      <c r="D555">
        <v>1</v>
      </c>
      <c r="E555" s="9">
        <v>0.19444444444444445</v>
      </c>
      <c r="F555">
        <v>110</v>
      </c>
      <c r="G555" s="8">
        <f>SUM($H$354:$H555)</f>
        <v>2376</v>
      </c>
      <c r="H555" s="8">
        <v>0</v>
      </c>
      <c r="I555" s="8">
        <v>0</v>
      </c>
      <c r="J555" s="8">
        <v>0</v>
      </c>
    </row>
    <row r="556" spans="1:11">
      <c r="A556" s="4">
        <f t="shared" si="42"/>
        <v>2026</v>
      </c>
      <c r="B556" s="4">
        <f t="shared" si="43"/>
        <v>5</v>
      </c>
      <c r="C556" s="1">
        <f t="shared" si="44"/>
        <v>46167</v>
      </c>
      <c r="D556">
        <v>1</v>
      </c>
      <c r="E556" s="9">
        <v>0.2298611111111111</v>
      </c>
      <c r="F556">
        <v>35</v>
      </c>
      <c r="G556" s="8">
        <f>SUM($H$354:$H556)</f>
        <v>2376</v>
      </c>
      <c r="H556" s="8">
        <v>0</v>
      </c>
      <c r="I556">
        <v>1</v>
      </c>
      <c r="J556">
        <v>2</v>
      </c>
    </row>
    <row r="557" spans="1:11">
      <c r="A557" s="4">
        <f t="shared" si="42"/>
        <v>2026</v>
      </c>
      <c r="B557" s="4">
        <f t="shared" si="43"/>
        <v>5</v>
      </c>
      <c r="C557" s="1">
        <f t="shared" si="44"/>
        <v>46168</v>
      </c>
      <c r="D557">
        <v>1</v>
      </c>
      <c r="E557" s="9">
        <v>0.15</v>
      </c>
      <c r="F557">
        <v>105</v>
      </c>
      <c r="G557" s="8">
        <f>SUM($H$354:$H557)</f>
        <v>2376</v>
      </c>
      <c r="H557" s="8">
        <v>0</v>
      </c>
      <c r="I557" s="8">
        <v>1</v>
      </c>
      <c r="J557">
        <v>0</v>
      </c>
    </row>
    <row r="558" spans="1:11">
      <c r="A558" s="4">
        <f t="shared" si="42"/>
        <v>2026</v>
      </c>
      <c r="B558" s="4">
        <f t="shared" si="43"/>
        <v>5</v>
      </c>
      <c r="C558" s="1">
        <f t="shared" si="44"/>
        <v>46169</v>
      </c>
      <c r="D558">
        <v>1</v>
      </c>
      <c r="E558" s="9">
        <v>0.18888888888888888</v>
      </c>
      <c r="F558">
        <v>60</v>
      </c>
      <c r="G558" s="8">
        <f>SUM($H$354:$H558)</f>
        <v>2376</v>
      </c>
      <c r="H558" s="8">
        <v>0</v>
      </c>
      <c r="I558" s="8">
        <v>0</v>
      </c>
      <c r="J558" s="8">
        <v>3</v>
      </c>
    </row>
    <row r="559" spans="1:11">
      <c r="A559" s="4">
        <f t="shared" si="42"/>
        <v>2026</v>
      </c>
      <c r="B559" s="4">
        <f t="shared" si="43"/>
        <v>5</v>
      </c>
      <c r="C559" s="1">
        <f t="shared" si="44"/>
        <v>46170</v>
      </c>
      <c r="D559">
        <v>1</v>
      </c>
      <c r="E559" s="9">
        <v>0.21527777777777779</v>
      </c>
      <c r="F559">
        <v>60</v>
      </c>
      <c r="G559" s="8">
        <f>SUM($H$354:$H559)</f>
        <v>2376</v>
      </c>
      <c r="H559" s="8">
        <v>0</v>
      </c>
      <c r="I559">
        <v>1</v>
      </c>
      <c r="J559">
        <v>2</v>
      </c>
    </row>
    <row r="560" spans="1:11">
      <c r="A560" s="4">
        <f t="shared" si="42"/>
        <v>2026</v>
      </c>
      <c r="B560" s="4">
        <f t="shared" si="43"/>
        <v>5</v>
      </c>
      <c r="C560" s="1">
        <f t="shared" si="44"/>
        <v>46171</v>
      </c>
      <c r="D560">
        <v>0</v>
      </c>
      <c r="E560" s="9">
        <v>0.21180555555555555</v>
      </c>
      <c r="F560" s="8">
        <v>60</v>
      </c>
      <c r="G560" s="8">
        <f>SUM($H$354:$H560)</f>
        <v>2376</v>
      </c>
      <c r="H560" s="8">
        <v>0</v>
      </c>
      <c r="I560">
        <v>1</v>
      </c>
      <c r="J560">
        <v>3</v>
      </c>
    </row>
    <row r="561" spans="1:11">
      <c r="A561" s="4">
        <f t="shared" si="42"/>
        <v>2026</v>
      </c>
      <c r="B561" s="4">
        <f t="shared" si="43"/>
        <v>5</v>
      </c>
      <c r="C561" s="1">
        <f t="shared" si="44"/>
        <v>46172</v>
      </c>
      <c r="D561">
        <v>1</v>
      </c>
      <c r="E561" s="9">
        <v>0.21180555555555555</v>
      </c>
      <c r="F561" s="8">
        <v>60</v>
      </c>
      <c r="G561" s="8">
        <f>SUM($H$354:$H561)</f>
        <v>2376</v>
      </c>
      <c r="H561" s="8">
        <v>0</v>
      </c>
      <c r="I561">
        <v>1</v>
      </c>
      <c r="J561">
        <v>0</v>
      </c>
    </row>
    <row r="562" spans="1:11">
      <c r="A562" s="4">
        <f t="shared" si="42"/>
        <v>2026</v>
      </c>
      <c r="B562" s="4">
        <f t="shared" si="43"/>
        <v>5</v>
      </c>
      <c r="C562" s="1">
        <f t="shared" si="44"/>
        <v>46173</v>
      </c>
      <c r="D562">
        <v>1</v>
      </c>
      <c r="E562" s="9">
        <v>0.29166666666666669</v>
      </c>
      <c r="F562">
        <v>60</v>
      </c>
      <c r="G562" s="8">
        <f>SUM($H$354:$H562)</f>
        <v>2376</v>
      </c>
      <c r="H562" s="8">
        <v>0</v>
      </c>
      <c r="I562">
        <v>1</v>
      </c>
      <c r="J562">
        <v>0</v>
      </c>
    </row>
    <row r="563" spans="1:11">
      <c r="A563" s="4">
        <f t="shared" si="42"/>
        <v>2026</v>
      </c>
      <c r="B563" s="4">
        <f t="shared" si="43"/>
        <v>6</v>
      </c>
      <c r="C563" s="1">
        <f t="shared" si="44"/>
        <v>46174</v>
      </c>
      <c r="D563" s="8">
        <v>0</v>
      </c>
      <c r="E563" s="9">
        <v>0.19375000000000001</v>
      </c>
      <c r="F563">
        <v>110</v>
      </c>
      <c r="G563" s="8">
        <f>H563</f>
        <v>25</v>
      </c>
      <c r="H563" s="8">
        <v>25</v>
      </c>
      <c r="I563">
        <v>1</v>
      </c>
      <c r="J563">
        <v>3</v>
      </c>
    </row>
    <row r="564" spans="1:11">
      <c r="A564" s="4">
        <f t="shared" si="42"/>
        <v>2026</v>
      </c>
      <c r="B564" s="4">
        <f t="shared" si="43"/>
        <v>6</v>
      </c>
      <c r="C564" s="1">
        <f t="shared" si="44"/>
        <v>46175</v>
      </c>
      <c r="D564" s="8">
        <v>0</v>
      </c>
      <c r="E564" s="9">
        <v>0.19930555555555554</v>
      </c>
      <c r="F564">
        <v>110</v>
      </c>
      <c r="G564" s="8">
        <f>G563+H564</f>
        <v>59</v>
      </c>
      <c r="H564" s="8">
        <v>34</v>
      </c>
      <c r="I564">
        <v>1</v>
      </c>
      <c r="J564">
        <v>3</v>
      </c>
    </row>
    <row r="565" spans="1:11">
      <c r="A565" s="4">
        <f t="shared" si="42"/>
        <v>2026</v>
      </c>
      <c r="B565" s="4">
        <f t="shared" si="43"/>
        <v>6</v>
      </c>
      <c r="C565" s="1">
        <f t="shared" si="44"/>
        <v>46176</v>
      </c>
      <c r="D565">
        <v>4</v>
      </c>
      <c r="E565" s="9">
        <v>0.20069444444444443</v>
      </c>
      <c r="F565">
        <v>75</v>
      </c>
      <c r="G565" s="8">
        <f t="shared" ref="G565:G631" si="45">G564+H565</f>
        <v>79</v>
      </c>
      <c r="H565" s="8">
        <v>20</v>
      </c>
      <c r="I565">
        <v>1</v>
      </c>
      <c r="J565">
        <v>0</v>
      </c>
    </row>
    <row r="566" spans="1:11">
      <c r="A566" s="4">
        <f t="shared" si="42"/>
        <v>2026</v>
      </c>
      <c r="B566" s="4">
        <f t="shared" si="43"/>
        <v>6</v>
      </c>
      <c r="C566" s="1">
        <f t="shared" si="44"/>
        <v>46177</v>
      </c>
      <c r="D566">
        <v>0</v>
      </c>
      <c r="E566" s="9">
        <v>0.20902777777777778</v>
      </c>
      <c r="F566">
        <v>60</v>
      </c>
      <c r="G566" s="8">
        <f t="shared" si="45"/>
        <v>93</v>
      </c>
      <c r="H566" s="8">
        <v>14</v>
      </c>
      <c r="I566">
        <v>1</v>
      </c>
      <c r="J566">
        <v>3</v>
      </c>
    </row>
    <row r="567" spans="1:11">
      <c r="A567" s="4">
        <f t="shared" si="42"/>
        <v>2026</v>
      </c>
      <c r="B567" s="4">
        <f t="shared" si="43"/>
        <v>6</v>
      </c>
      <c r="C567" s="1">
        <f t="shared" si="44"/>
        <v>46178</v>
      </c>
      <c r="D567">
        <v>0</v>
      </c>
      <c r="E567" s="9">
        <v>0.26041666666666669</v>
      </c>
      <c r="F567">
        <v>60</v>
      </c>
      <c r="G567" s="8">
        <f t="shared" si="45"/>
        <v>97</v>
      </c>
      <c r="H567" s="8">
        <v>4</v>
      </c>
      <c r="I567">
        <v>1</v>
      </c>
      <c r="J567">
        <v>2</v>
      </c>
    </row>
    <row r="568" spans="1:11">
      <c r="A568" s="4">
        <f t="shared" ref="A568:A620" si="46">YEAR(C568)</f>
        <v>2026</v>
      </c>
      <c r="B568" s="4">
        <f t="shared" ref="B568:B620" si="47">MONTH(C568)</f>
        <v>6</v>
      </c>
      <c r="C568" s="1">
        <f t="shared" si="44"/>
        <v>46179</v>
      </c>
      <c r="D568">
        <v>0</v>
      </c>
      <c r="E568" s="9">
        <v>0.20902777777777778</v>
      </c>
      <c r="F568">
        <v>155</v>
      </c>
      <c r="G568" s="8">
        <f t="shared" si="45"/>
        <v>137</v>
      </c>
      <c r="H568" s="8">
        <v>40</v>
      </c>
      <c r="I568">
        <v>1</v>
      </c>
      <c r="J568">
        <v>1</v>
      </c>
    </row>
    <row r="569" spans="1:11">
      <c r="A569" s="4">
        <f t="shared" si="46"/>
        <v>2026</v>
      </c>
      <c r="B569" s="4">
        <f t="shared" si="47"/>
        <v>6</v>
      </c>
      <c r="C569" s="1">
        <f t="shared" si="44"/>
        <v>46180</v>
      </c>
      <c r="D569">
        <v>2</v>
      </c>
      <c r="E569" s="9">
        <v>0.18888888888888888</v>
      </c>
      <c r="F569">
        <v>285</v>
      </c>
      <c r="G569" s="8">
        <f t="shared" si="45"/>
        <v>177</v>
      </c>
      <c r="H569" s="8">
        <v>40</v>
      </c>
      <c r="I569">
        <v>0</v>
      </c>
      <c r="J569">
        <v>1</v>
      </c>
      <c r="K569" s="8" t="s">
        <v>119</v>
      </c>
    </row>
    <row r="570" spans="1:11">
      <c r="A570" s="4">
        <f t="shared" si="46"/>
        <v>2026</v>
      </c>
      <c r="B570" s="4">
        <f t="shared" si="47"/>
        <v>6</v>
      </c>
      <c r="C570" s="1">
        <f t="shared" si="44"/>
        <v>46181</v>
      </c>
      <c r="D570">
        <v>0</v>
      </c>
      <c r="E570" s="9">
        <v>0.22152777777777777</v>
      </c>
      <c r="F570" s="8">
        <v>150</v>
      </c>
      <c r="G570" s="8">
        <f t="shared" si="45"/>
        <v>220</v>
      </c>
      <c r="H570" s="8">
        <v>43</v>
      </c>
      <c r="I570">
        <v>0</v>
      </c>
      <c r="J570">
        <v>1</v>
      </c>
    </row>
    <row r="571" spans="1:11">
      <c r="A571" s="4">
        <f t="shared" si="46"/>
        <v>2026</v>
      </c>
      <c r="B571" s="4">
        <f t="shared" si="47"/>
        <v>6</v>
      </c>
      <c r="C571" s="1">
        <f t="shared" si="44"/>
        <v>46182</v>
      </c>
      <c r="D571">
        <v>0</v>
      </c>
      <c r="E571" s="9">
        <v>0.18888888888888888</v>
      </c>
      <c r="F571">
        <v>200</v>
      </c>
      <c r="G571" s="8">
        <f t="shared" si="45"/>
        <v>260</v>
      </c>
      <c r="H571" s="8">
        <v>40</v>
      </c>
      <c r="I571">
        <v>0</v>
      </c>
      <c r="J571">
        <v>3</v>
      </c>
    </row>
    <row r="572" spans="1:11">
      <c r="A572" s="4">
        <f t="shared" si="46"/>
        <v>2026</v>
      </c>
      <c r="B572" s="4">
        <f t="shared" si="47"/>
        <v>6</v>
      </c>
      <c r="C572" s="1">
        <f t="shared" si="44"/>
        <v>46183</v>
      </c>
      <c r="D572">
        <v>0</v>
      </c>
      <c r="E572" s="9">
        <v>0.19097222222222221</v>
      </c>
      <c r="F572">
        <v>190</v>
      </c>
      <c r="G572" s="8">
        <f t="shared" si="45"/>
        <v>288</v>
      </c>
      <c r="H572" s="8">
        <v>28</v>
      </c>
      <c r="I572">
        <v>1</v>
      </c>
      <c r="J572">
        <v>3</v>
      </c>
    </row>
    <row r="573" spans="1:11">
      <c r="A573" s="4">
        <f t="shared" si="46"/>
        <v>2026</v>
      </c>
      <c r="B573" s="4">
        <f t="shared" si="47"/>
        <v>6</v>
      </c>
      <c r="C573" s="1">
        <f t="shared" si="44"/>
        <v>46184</v>
      </c>
      <c r="D573">
        <v>0</v>
      </c>
      <c r="E573" s="9">
        <v>0.20833333333333334</v>
      </c>
      <c r="F573">
        <v>185</v>
      </c>
      <c r="G573" s="8">
        <f t="shared" si="45"/>
        <v>330</v>
      </c>
      <c r="H573" s="8">
        <v>42</v>
      </c>
      <c r="I573">
        <v>1</v>
      </c>
      <c r="J573">
        <v>2</v>
      </c>
    </row>
    <row r="574" spans="1:11">
      <c r="A574" s="4">
        <f t="shared" si="46"/>
        <v>2026</v>
      </c>
      <c r="B574" s="4">
        <f t="shared" si="47"/>
        <v>6</v>
      </c>
      <c r="C574" s="1">
        <f t="shared" si="44"/>
        <v>46185</v>
      </c>
      <c r="D574">
        <v>0</v>
      </c>
      <c r="E574" s="9">
        <v>0.20972222222222223</v>
      </c>
      <c r="F574">
        <v>60</v>
      </c>
      <c r="G574" s="8">
        <f t="shared" si="45"/>
        <v>332</v>
      </c>
      <c r="H574" s="8">
        <v>2</v>
      </c>
      <c r="I574">
        <v>1</v>
      </c>
      <c r="J574">
        <v>1</v>
      </c>
    </row>
    <row r="575" spans="1:11">
      <c r="A575" s="4">
        <f t="shared" si="46"/>
        <v>2026</v>
      </c>
      <c r="B575" s="4">
        <f t="shared" si="47"/>
        <v>6</v>
      </c>
      <c r="C575" s="1">
        <f t="shared" si="44"/>
        <v>46186</v>
      </c>
      <c r="D575">
        <v>0</v>
      </c>
      <c r="E575" s="9">
        <v>0.19652777777777777</v>
      </c>
      <c r="F575">
        <v>90</v>
      </c>
      <c r="G575" s="8">
        <f t="shared" si="45"/>
        <v>337</v>
      </c>
      <c r="H575" s="8">
        <v>5</v>
      </c>
      <c r="I575">
        <v>1</v>
      </c>
      <c r="J575">
        <v>0</v>
      </c>
    </row>
    <row r="576" spans="1:11">
      <c r="A576" s="4">
        <f t="shared" si="46"/>
        <v>2026</v>
      </c>
      <c r="B576" s="4">
        <f t="shared" si="47"/>
        <v>6</v>
      </c>
      <c r="C576" s="1">
        <f t="shared" si="44"/>
        <v>46187</v>
      </c>
      <c r="D576">
        <v>0</v>
      </c>
      <c r="E576" s="9">
        <v>0.20972222222222223</v>
      </c>
      <c r="F576">
        <v>135</v>
      </c>
      <c r="G576" s="8">
        <f t="shared" si="45"/>
        <v>374</v>
      </c>
      <c r="H576" s="8">
        <v>37</v>
      </c>
      <c r="I576">
        <v>1</v>
      </c>
      <c r="J576">
        <v>0</v>
      </c>
    </row>
    <row r="577" spans="1:11">
      <c r="A577" s="4">
        <f t="shared" si="46"/>
        <v>2026</v>
      </c>
      <c r="B577" s="4">
        <f t="shared" si="47"/>
        <v>6</v>
      </c>
      <c r="C577" s="1">
        <f t="shared" si="44"/>
        <v>46188</v>
      </c>
      <c r="D577">
        <v>0</v>
      </c>
      <c r="E577" s="9">
        <v>0.20625000000000002</v>
      </c>
      <c r="F577">
        <v>165</v>
      </c>
      <c r="G577" s="8">
        <f t="shared" si="45"/>
        <v>408</v>
      </c>
      <c r="H577" s="8">
        <v>34</v>
      </c>
      <c r="I577" s="8">
        <v>1</v>
      </c>
      <c r="J577">
        <v>3</v>
      </c>
    </row>
    <row r="578" spans="1:11">
      <c r="A578" s="4">
        <f t="shared" si="46"/>
        <v>2026</v>
      </c>
      <c r="B578" s="4">
        <f t="shared" si="47"/>
        <v>6</v>
      </c>
      <c r="C578" s="1">
        <f t="shared" si="44"/>
        <v>46189</v>
      </c>
      <c r="D578">
        <v>0</v>
      </c>
      <c r="E578" s="9">
        <v>0.21805555555555556</v>
      </c>
      <c r="F578">
        <v>155</v>
      </c>
      <c r="G578" s="8">
        <f t="shared" si="45"/>
        <v>413</v>
      </c>
      <c r="H578" s="8">
        <v>5</v>
      </c>
      <c r="I578">
        <v>1</v>
      </c>
      <c r="J578">
        <v>3</v>
      </c>
    </row>
    <row r="579" spans="1:11">
      <c r="A579" s="4">
        <f t="shared" si="46"/>
        <v>2026</v>
      </c>
      <c r="B579" s="4">
        <f t="shared" si="47"/>
        <v>6</v>
      </c>
      <c r="C579" s="1">
        <f t="shared" si="44"/>
        <v>46190</v>
      </c>
      <c r="D579" s="8">
        <v>0</v>
      </c>
      <c r="E579" s="9">
        <v>0.19791666666666666</v>
      </c>
      <c r="F579">
        <v>175</v>
      </c>
      <c r="G579" s="8">
        <f t="shared" si="45"/>
        <v>443</v>
      </c>
      <c r="H579" s="8">
        <v>30</v>
      </c>
      <c r="I579">
        <v>1</v>
      </c>
      <c r="J579">
        <v>1</v>
      </c>
    </row>
    <row r="580" spans="1:11">
      <c r="A580" s="4">
        <f t="shared" si="46"/>
        <v>2026</v>
      </c>
      <c r="B580" s="4">
        <f t="shared" si="47"/>
        <v>6</v>
      </c>
      <c r="C580" s="1">
        <f t="shared" si="44"/>
        <v>46191</v>
      </c>
      <c r="D580">
        <v>0</v>
      </c>
      <c r="E580" s="9">
        <v>0.17847222222222223</v>
      </c>
      <c r="F580">
        <v>105</v>
      </c>
      <c r="G580" s="8">
        <f t="shared" si="45"/>
        <v>460</v>
      </c>
      <c r="H580" s="8">
        <v>17</v>
      </c>
      <c r="I580">
        <v>1</v>
      </c>
      <c r="J580">
        <v>2</v>
      </c>
    </row>
    <row r="581" spans="1:11">
      <c r="A581" s="4">
        <f t="shared" si="46"/>
        <v>2026</v>
      </c>
      <c r="B581" s="4">
        <f t="shared" si="47"/>
        <v>6</v>
      </c>
      <c r="C581" s="1">
        <f t="shared" si="44"/>
        <v>46192</v>
      </c>
      <c r="D581">
        <v>0</v>
      </c>
      <c r="E581" s="9">
        <v>0.16805555555555554</v>
      </c>
      <c r="F581">
        <v>120</v>
      </c>
      <c r="G581" s="8">
        <f t="shared" si="45"/>
        <v>474</v>
      </c>
      <c r="H581" s="8">
        <v>14</v>
      </c>
      <c r="I581">
        <v>1</v>
      </c>
      <c r="J581">
        <v>2</v>
      </c>
    </row>
    <row r="582" spans="1:11">
      <c r="A582" s="4">
        <f t="shared" si="46"/>
        <v>2026</v>
      </c>
      <c r="B582" s="4">
        <f t="shared" si="47"/>
        <v>6</v>
      </c>
      <c r="C582" s="1">
        <f t="shared" si="44"/>
        <v>46193</v>
      </c>
      <c r="D582">
        <v>0</v>
      </c>
      <c r="E582" s="9">
        <v>0.16805555555555554</v>
      </c>
      <c r="F582" s="8">
        <v>120</v>
      </c>
      <c r="G582" s="8">
        <f t="shared" si="45"/>
        <v>502</v>
      </c>
      <c r="H582" s="8">
        <v>28</v>
      </c>
      <c r="I582">
        <v>1</v>
      </c>
      <c r="J582">
        <v>0</v>
      </c>
    </row>
    <row r="583" spans="1:11">
      <c r="A583" s="4">
        <f t="shared" si="46"/>
        <v>2026</v>
      </c>
      <c r="B583" s="4">
        <f t="shared" si="47"/>
        <v>6</v>
      </c>
      <c r="C583" s="1">
        <f t="shared" si="44"/>
        <v>46194</v>
      </c>
      <c r="D583">
        <v>0</v>
      </c>
      <c r="E583" s="9">
        <v>0.16805555555555554</v>
      </c>
      <c r="F583">
        <v>120</v>
      </c>
      <c r="G583" s="8">
        <f t="shared" si="45"/>
        <v>520</v>
      </c>
      <c r="H583" s="8">
        <v>18</v>
      </c>
      <c r="I583">
        <v>1</v>
      </c>
      <c r="J583">
        <v>0</v>
      </c>
    </row>
    <row r="584" spans="1:11">
      <c r="A584" s="4">
        <f t="shared" si="46"/>
        <v>2026</v>
      </c>
      <c r="B584" s="4">
        <f t="shared" si="47"/>
        <v>6</v>
      </c>
      <c r="C584" s="1">
        <f t="shared" si="44"/>
        <v>46195</v>
      </c>
      <c r="D584">
        <v>0</v>
      </c>
      <c r="E584" s="9">
        <v>0.18819444444444444</v>
      </c>
      <c r="F584">
        <v>165</v>
      </c>
      <c r="G584" s="8">
        <f t="shared" si="45"/>
        <v>560</v>
      </c>
      <c r="H584" s="8">
        <v>40</v>
      </c>
      <c r="I584">
        <v>0</v>
      </c>
      <c r="J584">
        <v>3</v>
      </c>
    </row>
    <row r="585" spans="1:11">
      <c r="A585" s="4">
        <f t="shared" si="46"/>
        <v>2026</v>
      </c>
      <c r="B585" s="4">
        <f t="shared" si="47"/>
        <v>6</v>
      </c>
      <c r="C585" s="1">
        <f t="shared" ref="C585:C648" si="48">C584+1</f>
        <v>46196</v>
      </c>
      <c r="D585">
        <v>0</v>
      </c>
      <c r="E585" s="9">
        <v>0.16874999999999998</v>
      </c>
      <c r="F585">
        <v>170</v>
      </c>
      <c r="G585" s="8">
        <f t="shared" si="45"/>
        <v>600</v>
      </c>
      <c r="H585" s="8">
        <v>40</v>
      </c>
      <c r="I585">
        <v>0</v>
      </c>
      <c r="J585">
        <v>3</v>
      </c>
    </row>
    <row r="586" spans="1:11">
      <c r="A586" s="4">
        <f t="shared" si="46"/>
        <v>2026</v>
      </c>
      <c r="B586" s="4">
        <f t="shared" si="47"/>
        <v>6</v>
      </c>
      <c r="C586" s="1">
        <f t="shared" si="48"/>
        <v>46197</v>
      </c>
      <c r="D586">
        <v>0</v>
      </c>
      <c r="E586" s="9">
        <v>0.16874999999999998</v>
      </c>
      <c r="F586">
        <v>150</v>
      </c>
      <c r="G586" s="8">
        <f t="shared" si="45"/>
        <v>640</v>
      </c>
      <c r="H586" s="8">
        <v>40</v>
      </c>
      <c r="I586">
        <v>1</v>
      </c>
      <c r="J586">
        <v>3</v>
      </c>
    </row>
    <row r="587" spans="1:11">
      <c r="A587" s="4">
        <f t="shared" si="46"/>
        <v>2026</v>
      </c>
      <c r="B587" s="4">
        <f t="shared" si="47"/>
        <v>6</v>
      </c>
      <c r="C587" s="1">
        <f t="shared" si="48"/>
        <v>46198</v>
      </c>
      <c r="D587">
        <v>0</v>
      </c>
      <c r="E587" s="9">
        <v>0.19513888888888889</v>
      </c>
      <c r="F587">
        <v>140</v>
      </c>
      <c r="G587" s="8">
        <f t="shared" si="45"/>
        <v>680</v>
      </c>
      <c r="H587" s="8">
        <v>40</v>
      </c>
      <c r="I587">
        <v>1</v>
      </c>
      <c r="J587">
        <v>1</v>
      </c>
    </row>
    <row r="588" spans="1:11">
      <c r="A588" s="4">
        <f t="shared" si="46"/>
        <v>2026</v>
      </c>
      <c r="B588" s="4">
        <f t="shared" si="47"/>
        <v>6</v>
      </c>
      <c r="C588" s="1">
        <f t="shared" si="48"/>
        <v>46199</v>
      </c>
      <c r="D588">
        <v>0</v>
      </c>
      <c r="E588" s="9">
        <v>0.17152777777777775</v>
      </c>
      <c r="F588">
        <v>115</v>
      </c>
      <c r="G588" s="8">
        <f t="shared" si="45"/>
        <v>720</v>
      </c>
      <c r="H588" s="8">
        <v>40</v>
      </c>
      <c r="I588">
        <v>0</v>
      </c>
      <c r="J588">
        <v>1</v>
      </c>
    </row>
    <row r="589" spans="1:11">
      <c r="A589" s="4">
        <f t="shared" si="46"/>
        <v>2026</v>
      </c>
      <c r="B589" s="4">
        <f t="shared" si="47"/>
        <v>6</v>
      </c>
      <c r="C589" s="1">
        <f t="shared" si="48"/>
        <v>46200</v>
      </c>
      <c r="D589">
        <v>2</v>
      </c>
      <c r="E589" s="9">
        <v>0.16805555555555554</v>
      </c>
      <c r="F589">
        <v>150</v>
      </c>
      <c r="G589" s="8">
        <f t="shared" si="45"/>
        <v>760</v>
      </c>
      <c r="H589" s="8">
        <v>40</v>
      </c>
      <c r="I589">
        <v>1</v>
      </c>
      <c r="J589">
        <v>1</v>
      </c>
      <c r="K589" s="8" t="s">
        <v>120</v>
      </c>
    </row>
    <row r="590" spans="1:11">
      <c r="A590" s="4">
        <f t="shared" si="46"/>
        <v>2026</v>
      </c>
      <c r="B590" s="4">
        <f t="shared" si="47"/>
        <v>6</v>
      </c>
      <c r="C590" s="1">
        <f t="shared" si="48"/>
        <v>46201</v>
      </c>
      <c r="D590">
        <v>0</v>
      </c>
      <c r="E590" s="9">
        <v>0.16805555555555554</v>
      </c>
      <c r="F590">
        <v>165</v>
      </c>
      <c r="G590" s="8">
        <f t="shared" si="45"/>
        <v>800</v>
      </c>
      <c r="H590" s="8">
        <v>40</v>
      </c>
      <c r="I590">
        <v>1</v>
      </c>
      <c r="J590">
        <v>1</v>
      </c>
    </row>
    <row r="591" spans="1:11">
      <c r="A591" s="4">
        <f t="shared" si="46"/>
        <v>2026</v>
      </c>
      <c r="B591" s="4">
        <f t="shared" si="47"/>
        <v>6</v>
      </c>
      <c r="C591" s="1">
        <f t="shared" si="48"/>
        <v>46202</v>
      </c>
      <c r="D591">
        <v>0</v>
      </c>
      <c r="E591" s="9">
        <v>0.19375000000000001</v>
      </c>
      <c r="F591">
        <v>135</v>
      </c>
      <c r="G591" s="8">
        <f t="shared" si="45"/>
        <v>840</v>
      </c>
      <c r="H591" s="8">
        <v>40</v>
      </c>
      <c r="I591">
        <v>1</v>
      </c>
      <c r="J591">
        <v>0</v>
      </c>
    </row>
    <row r="592" spans="1:11">
      <c r="A592" s="4">
        <f t="shared" si="46"/>
        <v>2026</v>
      </c>
      <c r="B592" s="4">
        <f t="shared" si="47"/>
        <v>6</v>
      </c>
      <c r="C592" s="1">
        <f t="shared" si="48"/>
        <v>46203</v>
      </c>
      <c r="D592">
        <v>0</v>
      </c>
      <c r="E592" s="9">
        <v>0.125</v>
      </c>
      <c r="F592">
        <v>170</v>
      </c>
      <c r="G592" s="8">
        <f t="shared" si="45"/>
        <v>880</v>
      </c>
      <c r="H592" s="8">
        <v>40</v>
      </c>
      <c r="I592">
        <v>0</v>
      </c>
      <c r="J592">
        <v>3</v>
      </c>
    </row>
    <row r="593" spans="1:11">
      <c r="A593" s="4">
        <f t="shared" si="46"/>
        <v>2026</v>
      </c>
      <c r="B593" s="4">
        <f t="shared" si="47"/>
        <v>7</v>
      </c>
      <c r="C593" s="1">
        <f t="shared" si="48"/>
        <v>46204</v>
      </c>
      <c r="D593">
        <v>0</v>
      </c>
      <c r="E593" s="9">
        <v>0.18402777777777779</v>
      </c>
      <c r="F593">
        <v>100</v>
      </c>
      <c r="G593" s="8">
        <f t="shared" si="45"/>
        <v>905</v>
      </c>
      <c r="H593" s="8">
        <v>25</v>
      </c>
      <c r="I593">
        <v>0</v>
      </c>
      <c r="J593">
        <v>3</v>
      </c>
    </row>
    <row r="594" spans="1:11">
      <c r="A594" s="4">
        <f t="shared" si="46"/>
        <v>2026</v>
      </c>
      <c r="B594" s="4">
        <f t="shared" si="47"/>
        <v>7</v>
      </c>
      <c r="C594" s="1">
        <f t="shared" si="48"/>
        <v>46205</v>
      </c>
      <c r="D594">
        <v>0</v>
      </c>
      <c r="E594" s="9">
        <v>0.16805555555555554</v>
      </c>
      <c r="F594">
        <v>150</v>
      </c>
      <c r="G594" s="8">
        <f t="shared" si="45"/>
        <v>960</v>
      </c>
      <c r="H594" s="8">
        <v>55</v>
      </c>
      <c r="I594">
        <v>1</v>
      </c>
      <c r="J594">
        <v>3</v>
      </c>
    </row>
    <row r="595" spans="1:11">
      <c r="A595" s="4">
        <f t="shared" si="46"/>
        <v>2026</v>
      </c>
      <c r="B595" s="4">
        <f t="shared" si="47"/>
        <v>7</v>
      </c>
      <c r="C595" s="1">
        <f t="shared" si="48"/>
        <v>46206</v>
      </c>
      <c r="D595">
        <v>1</v>
      </c>
      <c r="E595" s="9">
        <v>0.1875</v>
      </c>
      <c r="F595">
        <v>90</v>
      </c>
      <c r="G595" s="8">
        <f t="shared" si="45"/>
        <v>980</v>
      </c>
      <c r="H595" s="8">
        <v>20</v>
      </c>
      <c r="I595">
        <v>0</v>
      </c>
      <c r="J595">
        <v>2</v>
      </c>
    </row>
    <row r="596" spans="1:11">
      <c r="A596" s="4">
        <f t="shared" si="46"/>
        <v>2026</v>
      </c>
      <c r="B596" s="4">
        <f t="shared" si="47"/>
        <v>7</v>
      </c>
      <c r="C596" s="1">
        <f t="shared" si="48"/>
        <v>46207</v>
      </c>
      <c r="D596">
        <v>1</v>
      </c>
      <c r="E596" s="9">
        <v>0.20694444444444446</v>
      </c>
      <c r="F596">
        <v>90</v>
      </c>
      <c r="G596" s="8">
        <f t="shared" si="45"/>
        <v>1000</v>
      </c>
      <c r="H596" s="8">
        <v>20</v>
      </c>
      <c r="I596">
        <v>1</v>
      </c>
      <c r="J596">
        <v>0</v>
      </c>
    </row>
    <row r="597" spans="1:11">
      <c r="A597" s="4">
        <f t="shared" si="46"/>
        <v>2026</v>
      </c>
      <c r="B597" s="4">
        <f t="shared" si="47"/>
        <v>7</v>
      </c>
      <c r="C597" s="1">
        <f t="shared" si="48"/>
        <v>46208</v>
      </c>
      <c r="D597" s="8">
        <v>1</v>
      </c>
      <c r="E597" s="9">
        <v>0.30208333333333331</v>
      </c>
      <c r="F597">
        <v>90</v>
      </c>
      <c r="G597" s="8">
        <f t="shared" si="45"/>
        <v>1020</v>
      </c>
      <c r="H597" s="8">
        <v>20</v>
      </c>
      <c r="I597">
        <v>1</v>
      </c>
      <c r="J597">
        <v>0</v>
      </c>
    </row>
    <row r="598" spans="1:11">
      <c r="A598" s="4">
        <f t="shared" si="46"/>
        <v>2026</v>
      </c>
      <c r="B598" s="4">
        <f t="shared" si="47"/>
        <v>7</v>
      </c>
      <c r="C598" s="1">
        <f t="shared" si="48"/>
        <v>46209</v>
      </c>
      <c r="D598">
        <v>0</v>
      </c>
      <c r="E598" s="9">
        <v>0.19375000000000001</v>
      </c>
      <c r="F598">
        <v>150</v>
      </c>
      <c r="G598" s="8">
        <f t="shared" si="45"/>
        <v>1040</v>
      </c>
      <c r="H598" s="8">
        <v>20</v>
      </c>
      <c r="I598">
        <v>1</v>
      </c>
      <c r="J598">
        <v>3</v>
      </c>
    </row>
    <row r="599" spans="1:11">
      <c r="A599" s="4">
        <f t="shared" si="46"/>
        <v>2026</v>
      </c>
      <c r="B599" s="4">
        <f t="shared" si="47"/>
        <v>7</v>
      </c>
      <c r="C599" s="1">
        <f t="shared" si="48"/>
        <v>46210</v>
      </c>
      <c r="D599">
        <v>0</v>
      </c>
      <c r="E599" s="9">
        <v>0.19930555555555554</v>
      </c>
      <c r="F599">
        <v>80</v>
      </c>
      <c r="G599" s="8">
        <f t="shared" si="45"/>
        <v>1090</v>
      </c>
      <c r="H599" s="8">
        <v>50</v>
      </c>
      <c r="I599">
        <v>1</v>
      </c>
      <c r="J599">
        <v>4</v>
      </c>
    </row>
    <row r="600" spans="1:11">
      <c r="A600" s="4">
        <f t="shared" si="46"/>
        <v>2026</v>
      </c>
      <c r="B600" s="4">
        <f t="shared" si="47"/>
        <v>7</v>
      </c>
      <c r="C600" s="1">
        <f t="shared" si="48"/>
        <v>46211</v>
      </c>
      <c r="D600">
        <v>0</v>
      </c>
      <c r="E600" s="9">
        <v>0.16805555555555554</v>
      </c>
      <c r="F600">
        <v>210</v>
      </c>
      <c r="G600" s="8">
        <f t="shared" si="45"/>
        <v>1140</v>
      </c>
      <c r="H600" s="8">
        <v>50</v>
      </c>
      <c r="I600">
        <v>1</v>
      </c>
      <c r="J600">
        <v>4</v>
      </c>
    </row>
    <row r="601" spans="1:11">
      <c r="A601" s="4">
        <f t="shared" si="46"/>
        <v>2026</v>
      </c>
      <c r="B601" s="4">
        <f t="shared" si="47"/>
        <v>7</v>
      </c>
      <c r="C601" s="1">
        <f t="shared" si="48"/>
        <v>46212</v>
      </c>
      <c r="D601">
        <v>1</v>
      </c>
      <c r="E601" s="9">
        <v>0.19097222222222221</v>
      </c>
      <c r="F601">
        <v>150</v>
      </c>
      <c r="G601" s="8">
        <f t="shared" si="45"/>
        <v>1190</v>
      </c>
      <c r="H601" s="8">
        <v>50</v>
      </c>
      <c r="I601">
        <v>1</v>
      </c>
      <c r="J601">
        <v>3</v>
      </c>
      <c r="K601" s="8" t="s">
        <v>121</v>
      </c>
    </row>
    <row r="602" spans="1:11">
      <c r="A602" s="4">
        <f t="shared" si="46"/>
        <v>2026</v>
      </c>
      <c r="B602" s="4">
        <f t="shared" si="47"/>
        <v>7</v>
      </c>
      <c r="C602" s="1">
        <f t="shared" si="48"/>
        <v>46213</v>
      </c>
      <c r="D602">
        <v>0</v>
      </c>
      <c r="E602" s="9">
        <v>0.16805555555555554</v>
      </c>
      <c r="F602">
        <v>175</v>
      </c>
      <c r="G602" s="8">
        <f t="shared" si="45"/>
        <v>1231</v>
      </c>
      <c r="H602" s="8">
        <v>41</v>
      </c>
      <c r="I602">
        <v>1</v>
      </c>
      <c r="J602">
        <v>1</v>
      </c>
    </row>
    <row r="603" spans="1:11">
      <c r="A603" s="4">
        <f t="shared" si="46"/>
        <v>2026</v>
      </c>
      <c r="B603" s="4">
        <f t="shared" si="47"/>
        <v>7</v>
      </c>
      <c r="C603" s="1">
        <f t="shared" si="48"/>
        <v>46214</v>
      </c>
      <c r="D603">
        <v>0</v>
      </c>
      <c r="E603" s="9">
        <v>0.19791666666666666</v>
      </c>
      <c r="F603">
        <v>60</v>
      </c>
      <c r="G603" s="8">
        <f t="shared" si="45"/>
        <v>1241</v>
      </c>
      <c r="H603" s="8">
        <v>10</v>
      </c>
      <c r="I603">
        <v>1</v>
      </c>
      <c r="J603">
        <v>0</v>
      </c>
    </row>
    <row r="604" spans="1:11">
      <c r="A604" s="4">
        <f t="shared" si="46"/>
        <v>2026</v>
      </c>
      <c r="B604" s="4">
        <f t="shared" si="47"/>
        <v>7</v>
      </c>
      <c r="C604" s="1">
        <f t="shared" si="48"/>
        <v>46215</v>
      </c>
      <c r="D604">
        <v>0</v>
      </c>
      <c r="E604" s="9">
        <v>0.18888888888888888</v>
      </c>
      <c r="F604">
        <v>105</v>
      </c>
      <c r="G604" s="8">
        <f t="shared" si="45"/>
        <v>1260</v>
      </c>
      <c r="H604" s="8">
        <v>19</v>
      </c>
      <c r="I604">
        <v>1</v>
      </c>
      <c r="J604">
        <v>0</v>
      </c>
    </row>
    <row r="605" spans="1:11">
      <c r="A605" s="4">
        <f t="shared" si="46"/>
        <v>2026</v>
      </c>
      <c r="B605" s="4">
        <f t="shared" si="47"/>
        <v>7</v>
      </c>
      <c r="C605" s="1">
        <f t="shared" si="48"/>
        <v>46216</v>
      </c>
      <c r="D605">
        <v>0</v>
      </c>
      <c r="E605" s="9">
        <v>0.21249999999999999</v>
      </c>
      <c r="F605">
        <v>60</v>
      </c>
      <c r="G605" s="8">
        <f t="shared" si="45"/>
        <v>1320</v>
      </c>
      <c r="H605" s="8">
        <v>60</v>
      </c>
      <c r="I605">
        <v>0</v>
      </c>
      <c r="J605">
        <v>1</v>
      </c>
    </row>
    <row r="606" spans="1:11">
      <c r="A606" s="4">
        <f t="shared" si="46"/>
        <v>2026</v>
      </c>
      <c r="B606" s="4">
        <f t="shared" si="47"/>
        <v>7</v>
      </c>
      <c r="C606" s="1">
        <f t="shared" si="48"/>
        <v>46217</v>
      </c>
      <c r="D606">
        <v>0</v>
      </c>
      <c r="E606" s="9">
        <v>0.17083333333333331</v>
      </c>
      <c r="F606">
        <v>180</v>
      </c>
      <c r="G606" s="8">
        <f t="shared" si="45"/>
        <v>1370</v>
      </c>
      <c r="H606" s="8">
        <v>50</v>
      </c>
      <c r="I606">
        <v>1</v>
      </c>
      <c r="J606">
        <v>1</v>
      </c>
    </row>
    <row r="607" spans="1:11">
      <c r="A607" s="4">
        <f t="shared" si="46"/>
        <v>2026</v>
      </c>
      <c r="B607" s="4">
        <f t="shared" si="47"/>
        <v>7</v>
      </c>
      <c r="C607" s="1">
        <f t="shared" si="48"/>
        <v>46218</v>
      </c>
      <c r="D607">
        <v>0</v>
      </c>
      <c r="E607" s="9">
        <v>0.18819444444444444</v>
      </c>
      <c r="F607">
        <v>150</v>
      </c>
      <c r="G607" s="8">
        <f t="shared" si="45"/>
        <v>1420</v>
      </c>
      <c r="H607" s="8">
        <v>50</v>
      </c>
      <c r="I607">
        <v>0</v>
      </c>
      <c r="J607">
        <v>1</v>
      </c>
    </row>
    <row r="608" spans="1:11">
      <c r="A608" s="4">
        <f t="shared" si="46"/>
        <v>2026</v>
      </c>
      <c r="B608" s="4">
        <f t="shared" si="47"/>
        <v>7</v>
      </c>
      <c r="C608" s="1">
        <f t="shared" si="48"/>
        <v>46219</v>
      </c>
      <c r="D608">
        <v>0</v>
      </c>
      <c r="E608" s="9">
        <v>0.19513888888888889</v>
      </c>
      <c r="F608">
        <v>140</v>
      </c>
      <c r="G608" s="8">
        <f t="shared" si="45"/>
        <v>1470</v>
      </c>
      <c r="H608" s="8">
        <v>50</v>
      </c>
      <c r="I608">
        <v>1</v>
      </c>
      <c r="J608">
        <v>0</v>
      </c>
    </row>
    <row r="609" spans="1:11">
      <c r="A609" s="4">
        <f t="shared" si="46"/>
        <v>2026</v>
      </c>
      <c r="B609" s="4">
        <f t="shared" si="47"/>
        <v>7</v>
      </c>
      <c r="C609" s="1">
        <f t="shared" si="48"/>
        <v>46220</v>
      </c>
      <c r="D609">
        <v>0</v>
      </c>
      <c r="E609" s="9">
        <v>0.20486111111111113</v>
      </c>
      <c r="F609">
        <v>70</v>
      </c>
      <c r="G609" s="8">
        <f t="shared" si="45"/>
        <v>1520</v>
      </c>
      <c r="H609" s="8">
        <v>50</v>
      </c>
      <c r="I609">
        <v>1</v>
      </c>
      <c r="J609">
        <v>3</v>
      </c>
    </row>
    <row r="610" spans="1:11">
      <c r="A610" s="4">
        <f t="shared" si="46"/>
        <v>2026</v>
      </c>
      <c r="B610" s="4">
        <f t="shared" si="47"/>
        <v>7</v>
      </c>
      <c r="C610" s="1">
        <f t="shared" si="48"/>
        <v>46221</v>
      </c>
      <c r="D610">
        <v>0</v>
      </c>
      <c r="E610" s="9">
        <v>0.1875</v>
      </c>
      <c r="F610">
        <v>95</v>
      </c>
      <c r="G610" s="8">
        <f t="shared" si="45"/>
        <v>1529</v>
      </c>
      <c r="H610" s="8">
        <v>9</v>
      </c>
      <c r="I610">
        <v>1</v>
      </c>
      <c r="J610">
        <v>0</v>
      </c>
    </row>
    <row r="611" spans="1:11">
      <c r="A611" s="4">
        <f t="shared" si="46"/>
        <v>2026</v>
      </c>
      <c r="B611" s="4">
        <f t="shared" si="47"/>
        <v>7</v>
      </c>
      <c r="C611" s="1">
        <f t="shared" si="48"/>
        <v>46222</v>
      </c>
      <c r="D611">
        <v>4</v>
      </c>
      <c r="E611" s="9">
        <v>0.29166666666666669</v>
      </c>
      <c r="F611">
        <v>0</v>
      </c>
      <c r="G611" s="8">
        <f t="shared" si="45"/>
        <v>1529</v>
      </c>
      <c r="H611" s="8">
        <v>0</v>
      </c>
      <c r="I611">
        <v>1</v>
      </c>
      <c r="J611">
        <v>0</v>
      </c>
    </row>
    <row r="612" spans="1:11">
      <c r="A612" s="4">
        <f t="shared" si="46"/>
        <v>2026</v>
      </c>
      <c r="B612" s="4">
        <f t="shared" si="47"/>
        <v>7</v>
      </c>
      <c r="C612" s="1">
        <f t="shared" si="48"/>
        <v>46223</v>
      </c>
      <c r="D612">
        <v>0</v>
      </c>
      <c r="E612" s="9">
        <v>0.29166666666666669</v>
      </c>
      <c r="F612">
        <v>30</v>
      </c>
      <c r="G612" s="8">
        <f t="shared" si="45"/>
        <v>1540</v>
      </c>
      <c r="H612" s="8">
        <v>11</v>
      </c>
      <c r="I612">
        <v>0</v>
      </c>
      <c r="J612">
        <v>0</v>
      </c>
    </row>
    <row r="613" spans="1:11">
      <c r="A613" s="4">
        <f t="shared" si="46"/>
        <v>2026</v>
      </c>
      <c r="B613" s="4">
        <f t="shared" si="47"/>
        <v>7</v>
      </c>
      <c r="C613" s="1">
        <f t="shared" si="48"/>
        <v>46224</v>
      </c>
      <c r="D613">
        <v>0</v>
      </c>
      <c r="E613" s="9">
        <v>0.16666666666666666</v>
      </c>
      <c r="F613">
        <v>120</v>
      </c>
      <c r="G613" s="8">
        <f t="shared" si="45"/>
        <v>1600</v>
      </c>
      <c r="H613" s="8">
        <v>60</v>
      </c>
      <c r="I613">
        <v>1</v>
      </c>
      <c r="J613">
        <v>3</v>
      </c>
    </row>
    <row r="614" spans="1:11">
      <c r="A614" s="4">
        <f t="shared" si="46"/>
        <v>2026</v>
      </c>
      <c r="B614" s="4">
        <f t="shared" si="47"/>
        <v>7</v>
      </c>
      <c r="C614" s="1">
        <f t="shared" si="48"/>
        <v>46225</v>
      </c>
      <c r="D614">
        <v>0</v>
      </c>
      <c r="E614" s="9">
        <v>0.17708333333333334</v>
      </c>
      <c r="F614">
        <v>105</v>
      </c>
      <c r="G614" s="8">
        <f t="shared" si="45"/>
        <v>1623</v>
      </c>
      <c r="H614" s="8">
        <v>23</v>
      </c>
      <c r="I614">
        <v>0</v>
      </c>
      <c r="J614">
        <v>4</v>
      </c>
    </row>
    <row r="615" spans="1:11">
      <c r="A615" s="4">
        <f t="shared" si="46"/>
        <v>2026</v>
      </c>
      <c r="B615" s="4">
        <f t="shared" si="47"/>
        <v>7</v>
      </c>
      <c r="C615" s="1">
        <f t="shared" si="48"/>
        <v>46226</v>
      </c>
      <c r="D615">
        <v>0</v>
      </c>
      <c r="E615" s="9">
        <v>0.17291666666666669</v>
      </c>
      <c r="F615">
        <v>115</v>
      </c>
      <c r="G615" s="8">
        <f t="shared" si="45"/>
        <v>1650</v>
      </c>
      <c r="H615" s="8">
        <v>27</v>
      </c>
      <c r="I615">
        <v>1</v>
      </c>
      <c r="J615">
        <v>4</v>
      </c>
    </row>
    <row r="616" spans="1:11">
      <c r="A616" s="4">
        <f t="shared" si="46"/>
        <v>2026</v>
      </c>
      <c r="B616" s="4">
        <f t="shared" si="47"/>
        <v>7</v>
      </c>
      <c r="C616" s="1">
        <f t="shared" si="48"/>
        <v>46227</v>
      </c>
      <c r="D616">
        <v>0</v>
      </c>
      <c r="E616" s="9">
        <v>0.16805555555555554</v>
      </c>
      <c r="F616">
        <v>150</v>
      </c>
      <c r="G616" s="8">
        <f t="shared" si="45"/>
        <v>1698</v>
      </c>
      <c r="H616" s="8">
        <v>48</v>
      </c>
      <c r="I616">
        <v>1</v>
      </c>
      <c r="J616">
        <v>4</v>
      </c>
    </row>
    <row r="617" spans="1:11">
      <c r="A617" s="4">
        <f t="shared" si="46"/>
        <v>2026</v>
      </c>
      <c r="B617" s="4">
        <f t="shared" si="47"/>
        <v>7</v>
      </c>
      <c r="C617" s="1">
        <f t="shared" si="48"/>
        <v>46228</v>
      </c>
      <c r="D617">
        <v>0</v>
      </c>
      <c r="E617" s="9">
        <v>0.20694444444444446</v>
      </c>
      <c r="F617">
        <v>75</v>
      </c>
      <c r="G617" s="8">
        <f t="shared" si="45"/>
        <v>1698</v>
      </c>
      <c r="H617" s="8">
        <v>0</v>
      </c>
      <c r="I617">
        <v>1</v>
      </c>
      <c r="J617">
        <v>0</v>
      </c>
    </row>
    <row r="618" spans="1:11">
      <c r="A618" s="4">
        <f t="shared" si="46"/>
        <v>2026</v>
      </c>
      <c r="B618" s="4">
        <f t="shared" si="47"/>
        <v>7</v>
      </c>
      <c r="C618" s="1">
        <f t="shared" si="48"/>
        <v>46229</v>
      </c>
      <c r="D618">
        <v>0</v>
      </c>
      <c r="E618" s="9">
        <v>0.16805555555555554</v>
      </c>
      <c r="F618">
        <v>180</v>
      </c>
      <c r="G618" s="8">
        <f t="shared" si="45"/>
        <v>1734</v>
      </c>
      <c r="H618" s="8">
        <v>36</v>
      </c>
      <c r="I618">
        <v>1</v>
      </c>
      <c r="J618">
        <v>0</v>
      </c>
    </row>
    <row r="619" spans="1:11">
      <c r="A619" s="4">
        <f t="shared" si="46"/>
        <v>2026</v>
      </c>
      <c r="B619" s="4">
        <f t="shared" si="47"/>
        <v>7</v>
      </c>
      <c r="C619" s="1">
        <f t="shared" si="48"/>
        <v>46230</v>
      </c>
      <c r="D619">
        <v>0</v>
      </c>
      <c r="E619" s="9">
        <v>0.16805555555555554</v>
      </c>
      <c r="F619">
        <v>120</v>
      </c>
      <c r="G619" s="8">
        <f t="shared" si="45"/>
        <v>1774</v>
      </c>
      <c r="H619" s="8">
        <v>40</v>
      </c>
      <c r="I619">
        <v>1</v>
      </c>
      <c r="J619">
        <v>3</v>
      </c>
    </row>
    <row r="620" spans="1:11">
      <c r="A620" s="4">
        <f t="shared" si="46"/>
        <v>2026</v>
      </c>
      <c r="B620" s="4">
        <f t="shared" si="47"/>
        <v>7</v>
      </c>
      <c r="C620" s="1">
        <f t="shared" si="48"/>
        <v>46231</v>
      </c>
      <c r="D620">
        <v>0</v>
      </c>
      <c r="E620" s="9">
        <v>0.17222222222222225</v>
      </c>
      <c r="F620">
        <v>110</v>
      </c>
      <c r="G620" s="8">
        <f t="shared" si="45"/>
        <v>1820</v>
      </c>
      <c r="H620" s="8">
        <v>46</v>
      </c>
      <c r="I620">
        <v>1</v>
      </c>
      <c r="J620">
        <v>2</v>
      </c>
    </row>
    <row r="621" spans="1:11">
      <c r="A621" s="4">
        <f t="shared" ref="A621:A684" si="49">YEAR(C621)</f>
        <v>2026</v>
      </c>
      <c r="B621" s="4">
        <f t="shared" ref="B621:B684" si="50">MONTH(C621)</f>
        <v>7</v>
      </c>
      <c r="C621" s="1">
        <f t="shared" si="48"/>
        <v>46232</v>
      </c>
      <c r="D621">
        <v>0</v>
      </c>
      <c r="E621" s="9">
        <v>0.16805555555555554</v>
      </c>
      <c r="F621">
        <v>165</v>
      </c>
      <c r="G621" s="8">
        <f t="shared" si="45"/>
        <v>1850</v>
      </c>
      <c r="H621" s="8">
        <v>30</v>
      </c>
      <c r="I621" s="8">
        <v>1</v>
      </c>
      <c r="J621">
        <v>2</v>
      </c>
    </row>
    <row r="622" spans="1:11">
      <c r="A622" s="4">
        <f t="shared" si="49"/>
        <v>2026</v>
      </c>
      <c r="B622" s="4">
        <f t="shared" si="50"/>
        <v>7</v>
      </c>
      <c r="C622" s="1">
        <f t="shared" si="48"/>
        <v>46233</v>
      </c>
      <c r="D622">
        <v>0</v>
      </c>
      <c r="E622" s="9">
        <v>0.17361111111111113</v>
      </c>
      <c r="F622">
        <v>130</v>
      </c>
      <c r="G622" s="8">
        <f t="shared" si="45"/>
        <v>1890</v>
      </c>
      <c r="H622" s="8">
        <v>40</v>
      </c>
      <c r="I622">
        <v>1</v>
      </c>
      <c r="J622">
        <v>1</v>
      </c>
    </row>
    <row r="623" spans="1:11">
      <c r="A623" s="4">
        <f t="shared" si="49"/>
        <v>2026</v>
      </c>
      <c r="B623" s="4">
        <f t="shared" si="50"/>
        <v>7</v>
      </c>
      <c r="C623" s="1">
        <f t="shared" si="48"/>
        <v>46234</v>
      </c>
      <c r="D623">
        <v>5</v>
      </c>
      <c r="E623" s="9">
        <v>0.20277777777777781</v>
      </c>
      <c r="F623">
        <v>60</v>
      </c>
      <c r="G623" s="8">
        <f t="shared" si="45"/>
        <v>1890</v>
      </c>
      <c r="H623" s="8">
        <v>0</v>
      </c>
      <c r="I623">
        <v>1</v>
      </c>
      <c r="J623">
        <v>0</v>
      </c>
      <c r="K623" s="8" t="s">
        <v>123</v>
      </c>
    </row>
    <row r="624" spans="1:11">
      <c r="A624" s="4">
        <f t="shared" si="49"/>
        <v>2026</v>
      </c>
      <c r="B624" s="4">
        <f t="shared" si="50"/>
        <v>8</v>
      </c>
      <c r="C624" s="1">
        <f t="shared" si="48"/>
        <v>46235</v>
      </c>
      <c r="D624">
        <v>4</v>
      </c>
      <c r="E624" s="9">
        <v>0.29166666666666669</v>
      </c>
      <c r="F624">
        <v>0</v>
      </c>
      <c r="G624" s="8">
        <f t="shared" si="45"/>
        <v>1890</v>
      </c>
      <c r="H624" s="8">
        <v>0</v>
      </c>
      <c r="I624" s="8">
        <v>1</v>
      </c>
      <c r="J624">
        <v>0</v>
      </c>
    </row>
    <row r="625" spans="1:12">
      <c r="A625" s="4">
        <f t="shared" si="49"/>
        <v>2026</v>
      </c>
      <c r="B625" s="4">
        <f t="shared" si="50"/>
        <v>8</v>
      </c>
      <c r="C625" s="1">
        <f t="shared" si="48"/>
        <v>46236</v>
      </c>
      <c r="D625">
        <v>4</v>
      </c>
      <c r="E625" s="9">
        <v>0.29166666666666669</v>
      </c>
      <c r="F625">
        <v>60</v>
      </c>
      <c r="G625" s="8">
        <f t="shared" si="45"/>
        <v>1890</v>
      </c>
      <c r="H625" s="8">
        <v>0</v>
      </c>
      <c r="I625" s="8">
        <v>1</v>
      </c>
      <c r="J625">
        <v>0</v>
      </c>
      <c r="K625" s="8" t="s">
        <v>124</v>
      </c>
    </row>
    <row r="626" spans="1:12">
      <c r="A626" s="4">
        <f t="shared" si="49"/>
        <v>2026</v>
      </c>
      <c r="B626" s="4">
        <f t="shared" si="50"/>
        <v>8</v>
      </c>
      <c r="C626" s="1">
        <f t="shared" si="48"/>
        <v>46237</v>
      </c>
      <c r="D626">
        <v>1</v>
      </c>
      <c r="E626" s="9">
        <v>0.18402777777777779</v>
      </c>
      <c r="F626">
        <v>150</v>
      </c>
      <c r="G626" s="8">
        <f t="shared" si="45"/>
        <v>1937</v>
      </c>
      <c r="H626" s="8">
        <v>47</v>
      </c>
      <c r="I626" s="8">
        <v>1</v>
      </c>
      <c r="J626">
        <v>2</v>
      </c>
      <c r="K626" s="8" t="s">
        <v>125</v>
      </c>
    </row>
    <row r="627" spans="1:12">
      <c r="A627" s="4">
        <f t="shared" si="49"/>
        <v>2026</v>
      </c>
      <c r="B627" s="4">
        <f t="shared" si="50"/>
        <v>8</v>
      </c>
      <c r="C627" s="1">
        <f t="shared" si="48"/>
        <v>46238</v>
      </c>
      <c r="D627">
        <v>0</v>
      </c>
      <c r="E627" s="9">
        <v>0.17430555555555557</v>
      </c>
      <c r="F627">
        <v>165</v>
      </c>
      <c r="G627" s="8">
        <f t="shared" si="45"/>
        <v>2000</v>
      </c>
      <c r="H627" s="8">
        <v>63</v>
      </c>
      <c r="I627">
        <v>1</v>
      </c>
      <c r="J627">
        <v>2</v>
      </c>
      <c r="L627" s="8">
        <v>114</v>
      </c>
    </row>
    <row r="628" spans="1:12">
      <c r="A628" s="4">
        <f t="shared" si="49"/>
        <v>2026</v>
      </c>
      <c r="B628" s="4">
        <f t="shared" si="50"/>
        <v>8</v>
      </c>
      <c r="C628" s="1">
        <f t="shared" si="48"/>
        <v>46239</v>
      </c>
      <c r="D628">
        <v>0</v>
      </c>
      <c r="E628" s="9">
        <v>0.16874999999999998</v>
      </c>
      <c r="F628">
        <v>145</v>
      </c>
      <c r="G628" s="8">
        <f t="shared" si="45"/>
        <v>2068</v>
      </c>
      <c r="H628" s="8">
        <v>68</v>
      </c>
      <c r="I628">
        <v>1</v>
      </c>
      <c r="J628">
        <v>2</v>
      </c>
      <c r="L628" s="8">
        <f t="shared" ref="L628:L635" si="51">L627+2</f>
        <v>116</v>
      </c>
    </row>
    <row r="629" spans="1:12">
      <c r="A629" s="4">
        <f t="shared" si="49"/>
        <v>2026</v>
      </c>
      <c r="B629" s="4">
        <f t="shared" si="50"/>
        <v>8</v>
      </c>
      <c r="C629" s="1">
        <f t="shared" si="48"/>
        <v>46240</v>
      </c>
      <c r="D629">
        <v>0</v>
      </c>
      <c r="E629" s="9">
        <v>0.16805555555555554</v>
      </c>
      <c r="F629">
        <v>120</v>
      </c>
      <c r="G629" s="8">
        <f t="shared" si="45"/>
        <v>2080</v>
      </c>
      <c r="H629" s="8">
        <v>12</v>
      </c>
      <c r="I629">
        <v>1</v>
      </c>
      <c r="J629">
        <v>2</v>
      </c>
      <c r="L629" s="8">
        <f t="shared" si="51"/>
        <v>118</v>
      </c>
    </row>
    <row r="630" spans="1:12">
      <c r="A630" s="4">
        <f t="shared" si="49"/>
        <v>2026</v>
      </c>
      <c r="B630" s="4">
        <f t="shared" si="50"/>
        <v>8</v>
      </c>
      <c r="C630" s="1">
        <f t="shared" si="48"/>
        <v>46241</v>
      </c>
      <c r="E630" s="9">
        <v>0.17569444444444446</v>
      </c>
      <c r="F630">
        <v>95</v>
      </c>
      <c r="G630" s="8">
        <f t="shared" si="45"/>
        <v>2120</v>
      </c>
      <c r="H630" s="8">
        <v>40</v>
      </c>
      <c r="I630">
        <v>1</v>
      </c>
      <c r="L630" s="8">
        <f t="shared" si="51"/>
        <v>120</v>
      </c>
    </row>
    <row r="631" spans="1:12">
      <c r="A631" s="4">
        <f t="shared" si="49"/>
        <v>2026</v>
      </c>
      <c r="B631" s="4">
        <f t="shared" si="50"/>
        <v>8</v>
      </c>
      <c r="C631" s="1">
        <f t="shared" si="48"/>
        <v>46242</v>
      </c>
      <c r="G631" s="8">
        <f t="shared" si="45"/>
        <v>2160</v>
      </c>
      <c r="H631" s="8">
        <v>40</v>
      </c>
      <c r="I631" s="8">
        <v>1</v>
      </c>
      <c r="L631" s="8">
        <f t="shared" si="51"/>
        <v>122</v>
      </c>
    </row>
    <row r="632" spans="1:12">
      <c r="A632" s="4">
        <f t="shared" si="49"/>
        <v>2026</v>
      </c>
      <c r="B632" s="4">
        <f t="shared" si="50"/>
        <v>8</v>
      </c>
      <c r="C632" s="1">
        <f t="shared" si="48"/>
        <v>46243</v>
      </c>
      <c r="G632" s="8">
        <f t="shared" ref="G632:G650" si="52">G631+H632</f>
        <v>2200</v>
      </c>
      <c r="H632" s="8">
        <v>40</v>
      </c>
      <c r="I632" s="8">
        <v>1</v>
      </c>
      <c r="L632" s="8">
        <f t="shared" si="51"/>
        <v>124</v>
      </c>
    </row>
    <row r="633" spans="1:12">
      <c r="A633" s="4">
        <f t="shared" si="49"/>
        <v>2026</v>
      </c>
      <c r="B633" s="4">
        <f t="shared" si="50"/>
        <v>8</v>
      </c>
      <c r="C633" s="1">
        <f t="shared" si="48"/>
        <v>46244</v>
      </c>
      <c r="G633" s="8">
        <f t="shared" si="52"/>
        <v>2200</v>
      </c>
      <c r="I633" s="8">
        <v>1</v>
      </c>
      <c r="L633" s="8">
        <f t="shared" si="51"/>
        <v>126</v>
      </c>
    </row>
    <row r="634" spans="1:12">
      <c r="A634" s="4">
        <f t="shared" si="49"/>
        <v>2026</v>
      </c>
      <c r="B634" s="4">
        <f t="shared" si="50"/>
        <v>8</v>
      </c>
      <c r="C634" s="1">
        <f t="shared" si="48"/>
        <v>46245</v>
      </c>
      <c r="G634" s="8">
        <f t="shared" si="52"/>
        <v>2200</v>
      </c>
      <c r="I634" s="8">
        <v>1</v>
      </c>
      <c r="L634" s="8">
        <f t="shared" si="51"/>
        <v>128</v>
      </c>
    </row>
    <row r="635" spans="1:12">
      <c r="A635" s="4">
        <f t="shared" si="49"/>
        <v>2026</v>
      </c>
      <c r="B635" s="4">
        <f t="shared" si="50"/>
        <v>8</v>
      </c>
      <c r="C635" s="1">
        <f t="shared" si="48"/>
        <v>46246</v>
      </c>
      <c r="G635" s="8">
        <f t="shared" si="52"/>
        <v>2200</v>
      </c>
      <c r="I635" s="8">
        <v>1</v>
      </c>
      <c r="L635" s="8">
        <f t="shared" si="51"/>
        <v>130</v>
      </c>
    </row>
    <row r="636" spans="1:12">
      <c r="A636" s="4">
        <f t="shared" si="49"/>
        <v>2026</v>
      </c>
      <c r="B636" s="4">
        <f t="shared" si="50"/>
        <v>8</v>
      </c>
      <c r="C636" s="1">
        <f t="shared" si="48"/>
        <v>46247</v>
      </c>
      <c r="G636" s="8">
        <f t="shared" si="52"/>
        <v>2200</v>
      </c>
      <c r="I636" s="8">
        <v>1</v>
      </c>
    </row>
    <row r="637" spans="1:12">
      <c r="A637" s="4">
        <f t="shared" si="49"/>
        <v>2026</v>
      </c>
      <c r="B637" s="4">
        <f t="shared" si="50"/>
        <v>8</v>
      </c>
      <c r="C637" s="1">
        <f t="shared" si="48"/>
        <v>46248</v>
      </c>
      <c r="G637" s="8">
        <f t="shared" si="52"/>
        <v>2200</v>
      </c>
      <c r="I637" s="8">
        <v>1</v>
      </c>
    </row>
    <row r="638" spans="1:12">
      <c r="A638" s="4">
        <f t="shared" si="49"/>
        <v>2026</v>
      </c>
      <c r="B638" s="4">
        <f t="shared" si="50"/>
        <v>8</v>
      </c>
      <c r="C638" s="1">
        <f t="shared" si="48"/>
        <v>46249</v>
      </c>
      <c r="G638" s="8">
        <f t="shared" si="52"/>
        <v>2200</v>
      </c>
      <c r="I638" s="8">
        <v>1</v>
      </c>
    </row>
    <row r="639" spans="1:12">
      <c r="A639" s="4">
        <f t="shared" si="49"/>
        <v>2026</v>
      </c>
      <c r="B639" s="4">
        <f t="shared" si="50"/>
        <v>8</v>
      </c>
      <c r="C639" s="1">
        <f t="shared" si="48"/>
        <v>46250</v>
      </c>
      <c r="G639" s="8">
        <f t="shared" si="52"/>
        <v>2200</v>
      </c>
      <c r="I639" s="8">
        <v>1</v>
      </c>
    </row>
    <row r="640" spans="1:12">
      <c r="A640" s="4">
        <f t="shared" si="49"/>
        <v>2026</v>
      </c>
      <c r="B640" s="4">
        <f t="shared" si="50"/>
        <v>8</v>
      </c>
      <c r="C640" s="1">
        <f t="shared" si="48"/>
        <v>46251</v>
      </c>
      <c r="G640" s="8">
        <f t="shared" si="52"/>
        <v>2200</v>
      </c>
      <c r="I640">
        <v>0</v>
      </c>
      <c r="J640">
        <v>0</v>
      </c>
    </row>
    <row r="641" spans="1:10">
      <c r="A641" s="4">
        <f t="shared" si="49"/>
        <v>2026</v>
      </c>
      <c r="B641" s="4">
        <f t="shared" si="50"/>
        <v>8</v>
      </c>
      <c r="C641" s="1">
        <f t="shared" si="48"/>
        <v>46252</v>
      </c>
      <c r="E641" s="9">
        <v>0.17361111111111113</v>
      </c>
      <c r="F641">
        <v>120</v>
      </c>
      <c r="G641" s="8">
        <f t="shared" si="52"/>
        <v>2220</v>
      </c>
      <c r="H641" s="8">
        <v>20</v>
      </c>
      <c r="I641">
        <v>0</v>
      </c>
      <c r="J641">
        <v>1</v>
      </c>
    </row>
    <row r="642" spans="1:10">
      <c r="A642" s="4">
        <f t="shared" si="49"/>
        <v>2026</v>
      </c>
      <c r="B642" s="4">
        <f t="shared" si="50"/>
        <v>8</v>
      </c>
      <c r="C642" s="1">
        <f t="shared" si="48"/>
        <v>46253</v>
      </c>
      <c r="E642" s="9">
        <v>0.17708333333333334</v>
      </c>
      <c r="F642">
        <v>100</v>
      </c>
      <c r="G642" s="8">
        <f t="shared" si="52"/>
        <v>2240</v>
      </c>
      <c r="H642" s="8">
        <v>20</v>
      </c>
    </row>
    <row r="643" spans="1:10">
      <c r="A643" s="4">
        <f t="shared" si="49"/>
        <v>2026</v>
      </c>
      <c r="B643" s="4">
        <f t="shared" si="50"/>
        <v>8</v>
      </c>
      <c r="C643" s="1">
        <f t="shared" si="48"/>
        <v>46254</v>
      </c>
      <c r="G643" s="8">
        <f t="shared" si="52"/>
        <v>2260</v>
      </c>
      <c r="H643" s="8">
        <v>20</v>
      </c>
    </row>
    <row r="644" spans="1:10">
      <c r="A644" s="4">
        <f t="shared" si="49"/>
        <v>2026</v>
      </c>
      <c r="B644" s="4">
        <f t="shared" si="50"/>
        <v>8</v>
      </c>
      <c r="C644" s="1">
        <f t="shared" si="48"/>
        <v>46255</v>
      </c>
      <c r="G644" s="8">
        <f t="shared" si="52"/>
        <v>2280</v>
      </c>
      <c r="H644" s="8">
        <v>20</v>
      </c>
    </row>
    <row r="645" spans="1:10">
      <c r="A645" s="4">
        <f t="shared" si="49"/>
        <v>2026</v>
      </c>
      <c r="B645" s="4">
        <f t="shared" si="50"/>
        <v>8</v>
      </c>
      <c r="C645" s="1">
        <f t="shared" si="48"/>
        <v>46256</v>
      </c>
      <c r="G645" s="8">
        <f t="shared" si="52"/>
        <v>2300</v>
      </c>
      <c r="H645" s="8">
        <v>20</v>
      </c>
    </row>
    <row r="646" spans="1:10">
      <c r="A646" s="4">
        <f t="shared" si="49"/>
        <v>2026</v>
      </c>
      <c r="B646" s="4">
        <f t="shared" si="50"/>
        <v>8</v>
      </c>
      <c r="C646" s="1">
        <f t="shared" si="48"/>
        <v>46257</v>
      </c>
      <c r="G646" s="8">
        <f t="shared" si="52"/>
        <v>2320</v>
      </c>
      <c r="H646" s="8">
        <v>20</v>
      </c>
    </row>
    <row r="647" spans="1:10">
      <c r="A647" s="4">
        <f t="shared" si="49"/>
        <v>2026</v>
      </c>
      <c r="B647" s="4">
        <f t="shared" si="50"/>
        <v>8</v>
      </c>
      <c r="C647" s="1">
        <f t="shared" si="48"/>
        <v>46258</v>
      </c>
      <c r="E647" s="9">
        <v>0.17152777777777775</v>
      </c>
      <c r="F647">
        <v>150</v>
      </c>
      <c r="G647" s="8">
        <f t="shared" si="52"/>
        <v>2389</v>
      </c>
      <c r="H647" s="8">
        <v>69</v>
      </c>
      <c r="I647">
        <v>1</v>
      </c>
      <c r="J647">
        <v>1</v>
      </c>
    </row>
    <row r="648" spans="1:10">
      <c r="A648" s="4">
        <f t="shared" si="49"/>
        <v>2026</v>
      </c>
      <c r="B648" s="4">
        <f t="shared" si="50"/>
        <v>8</v>
      </c>
      <c r="C648" s="1">
        <f t="shared" si="48"/>
        <v>46259</v>
      </c>
      <c r="E648" s="9">
        <v>0.1875</v>
      </c>
      <c r="F648">
        <v>170</v>
      </c>
      <c r="G648" s="8">
        <f t="shared" si="52"/>
        <v>2426</v>
      </c>
      <c r="H648" s="8">
        <v>37</v>
      </c>
      <c r="I648">
        <v>1</v>
      </c>
    </row>
    <row r="649" spans="1:10">
      <c r="A649" s="4">
        <f t="shared" si="49"/>
        <v>2026</v>
      </c>
      <c r="B649" s="4">
        <f t="shared" si="50"/>
        <v>8</v>
      </c>
      <c r="C649" s="1">
        <f t="shared" ref="C649:C712" si="53">C648+1</f>
        <v>46260</v>
      </c>
      <c r="E649" s="9">
        <v>0.18055555555555555</v>
      </c>
      <c r="F649">
        <v>140</v>
      </c>
      <c r="G649" s="8">
        <f t="shared" si="52"/>
        <v>2439</v>
      </c>
      <c r="H649" s="8">
        <v>13</v>
      </c>
      <c r="I649">
        <v>0</v>
      </c>
    </row>
    <row r="650" spans="1:10">
      <c r="A650" s="4">
        <f t="shared" si="49"/>
        <v>2026</v>
      </c>
      <c r="B650" s="4">
        <f t="shared" si="50"/>
        <v>8</v>
      </c>
      <c r="C650" s="1">
        <f t="shared" si="53"/>
        <v>46261</v>
      </c>
      <c r="E650" s="9">
        <v>0.1875</v>
      </c>
      <c r="F650">
        <v>90</v>
      </c>
      <c r="G650" s="8">
        <f t="shared" si="52"/>
        <v>2439</v>
      </c>
    </row>
    <row r="651" spans="1:10">
      <c r="A651" s="4">
        <f t="shared" si="49"/>
        <v>2026</v>
      </c>
      <c r="B651" s="4">
        <f t="shared" si="50"/>
        <v>8</v>
      </c>
      <c r="C651" s="1">
        <f t="shared" si="53"/>
        <v>46262</v>
      </c>
    </row>
    <row r="652" spans="1:10">
      <c r="A652" s="4">
        <f t="shared" si="49"/>
        <v>2026</v>
      </c>
      <c r="B652" s="4">
        <f t="shared" si="50"/>
        <v>8</v>
      </c>
      <c r="C652" s="1">
        <f t="shared" si="53"/>
        <v>46263</v>
      </c>
    </row>
    <row r="653" spans="1:10">
      <c r="A653" s="4">
        <f t="shared" si="49"/>
        <v>2026</v>
      </c>
      <c r="B653" s="4">
        <f t="shared" si="50"/>
        <v>8</v>
      </c>
      <c r="C653" s="1">
        <f t="shared" si="53"/>
        <v>46264</v>
      </c>
    </row>
    <row r="654" spans="1:10">
      <c r="A654" s="4">
        <f t="shared" si="49"/>
        <v>2026</v>
      </c>
      <c r="B654" s="4">
        <f t="shared" si="50"/>
        <v>8</v>
      </c>
      <c r="C654" s="1">
        <f t="shared" si="53"/>
        <v>46265</v>
      </c>
    </row>
    <row r="655" spans="1:10">
      <c r="A655" s="4">
        <f t="shared" si="49"/>
        <v>2026</v>
      </c>
      <c r="B655" s="4">
        <f t="shared" si="50"/>
        <v>9</v>
      </c>
      <c r="C655" s="1">
        <f t="shared" si="53"/>
        <v>46266</v>
      </c>
    </row>
    <row r="656" spans="1:10">
      <c r="A656" s="4">
        <f t="shared" si="49"/>
        <v>2026</v>
      </c>
      <c r="B656" s="4">
        <f t="shared" si="50"/>
        <v>9</v>
      </c>
      <c r="C656" s="1">
        <f t="shared" si="53"/>
        <v>46267</v>
      </c>
    </row>
    <row r="657" spans="1:3">
      <c r="A657" s="4">
        <f t="shared" si="49"/>
        <v>2026</v>
      </c>
      <c r="B657" s="4">
        <f t="shared" si="50"/>
        <v>9</v>
      </c>
      <c r="C657" s="1">
        <f t="shared" si="53"/>
        <v>46268</v>
      </c>
    </row>
    <row r="658" spans="1:3">
      <c r="A658" s="4">
        <f t="shared" si="49"/>
        <v>2026</v>
      </c>
      <c r="B658" s="4">
        <f t="shared" si="50"/>
        <v>9</v>
      </c>
      <c r="C658" s="1">
        <f t="shared" si="53"/>
        <v>46269</v>
      </c>
    </row>
    <row r="659" spans="1:3">
      <c r="A659" s="4">
        <f t="shared" si="49"/>
        <v>2026</v>
      </c>
      <c r="B659" s="4">
        <f t="shared" si="50"/>
        <v>9</v>
      </c>
      <c r="C659" s="1">
        <f t="shared" si="53"/>
        <v>46270</v>
      </c>
    </row>
    <row r="660" spans="1:3">
      <c r="A660" s="4">
        <f t="shared" si="49"/>
        <v>2026</v>
      </c>
      <c r="B660" s="4">
        <f t="shared" si="50"/>
        <v>9</v>
      </c>
      <c r="C660" s="1">
        <f t="shared" si="53"/>
        <v>46271</v>
      </c>
    </row>
    <row r="661" spans="1:3">
      <c r="A661" s="4">
        <f t="shared" si="49"/>
        <v>2026</v>
      </c>
      <c r="B661" s="4">
        <f t="shared" si="50"/>
        <v>9</v>
      </c>
      <c r="C661" s="1">
        <f t="shared" si="53"/>
        <v>46272</v>
      </c>
    </row>
    <row r="662" spans="1:3">
      <c r="A662" s="4">
        <f t="shared" si="49"/>
        <v>2026</v>
      </c>
      <c r="B662" s="4">
        <f t="shared" si="50"/>
        <v>9</v>
      </c>
      <c r="C662" s="1">
        <f t="shared" si="53"/>
        <v>46273</v>
      </c>
    </row>
    <row r="663" spans="1:3">
      <c r="A663" s="4">
        <f t="shared" si="49"/>
        <v>2026</v>
      </c>
      <c r="B663" s="4">
        <f t="shared" si="50"/>
        <v>9</v>
      </c>
      <c r="C663" s="1">
        <f t="shared" si="53"/>
        <v>46274</v>
      </c>
    </row>
    <row r="664" spans="1:3">
      <c r="A664" s="4">
        <f t="shared" si="49"/>
        <v>2026</v>
      </c>
      <c r="B664" s="4">
        <f t="shared" si="50"/>
        <v>9</v>
      </c>
      <c r="C664" s="1">
        <f t="shared" si="53"/>
        <v>46275</v>
      </c>
    </row>
    <row r="665" spans="1:3">
      <c r="A665" s="4">
        <f t="shared" si="49"/>
        <v>2026</v>
      </c>
      <c r="B665" s="4">
        <f t="shared" si="50"/>
        <v>9</v>
      </c>
      <c r="C665" s="1">
        <f t="shared" si="53"/>
        <v>46276</v>
      </c>
    </row>
    <row r="666" spans="1:3">
      <c r="A666" s="4">
        <f t="shared" si="49"/>
        <v>2026</v>
      </c>
      <c r="B666" s="4">
        <f t="shared" si="50"/>
        <v>9</v>
      </c>
      <c r="C666" s="1">
        <f t="shared" si="53"/>
        <v>46277</v>
      </c>
    </row>
    <row r="667" spans="1:3">
      <c r="A667" s="4">
        <f t="shared" si="49"/>
        <v>2026</v>
      </c>
      <c r="B667" s="4">
        <f t="shared" si="50"/>
        <v>9</v>
      </c>
      <c r="C667" s="1">
        <f t="shared" si="53"/>
        <v>46278</v>
      </c>
    </row>
    <row r="668" spans="1:3">
      <c r="A668" s="4">
        <f t="shared" si="49"/>
        <v>2026</v>
      </c>
      <c r="B668" s="4">
        <f t="shared" si="50"/>
        <v>9</v>
      </c>
      <c r="C668" s="1">
        <f t="shared" si="53"/>
        <v>46279</v>
      </c>
    </row>
    <row r="669" spans="1:3">
      <c r="A669" s="4">
        <f t="shared" si="49"/>
        <v>2026</v>
      </c>
      <c r="B669" s="4">
        <f t="shared" si="50"/>
        <v>9</v>
      </c>
      <c r="C669" s="1">
        <f t="shared" si="53"/>
        <v>46280</v>
      </c>
    </row>
    <row r="670" spans="1:3">
      <c r="A670" s="4">
        <f t="shared" si="49"/>
        <v>2026</v>
      </c>
      <c r="B670" s="4">
        <f t="shared" si="50"/>
        <v>9</v>
      </c>
      <c r="C670" s="1">
        <f t="shared" si="53"/>
        <v>46281</v>
      </c>
    </row>
    <row r="671" spans="1:3">
      <c r="A671" s="4">
        <f t="shared" si="49"/>
        <v>2026</v>
      </c>
      <c r="B671" s="4">
        <f t="shared" si="50"/>
        <v>9</v>
      </c>
      <c r="C671" s="1">
        <f t="shared" si="53"/>
        <v>46282</v>
      </c>
    </row>
    <row r="672" spans="1:3">
      <c r="A672" s="4">
        <f t="shared" si="49"/>
        <v>2026</v>
      </c>
      <c r="B672" s="4">
        <f t="shared" si="50"/>
        <v>9</v>
      </c>
      <c r="C672" s="1">
        <f t="shared" si="53"/>
        <v>46283</v>
      </c>
    </row>
    <row r="673" spans="1:3">
      <c r="A673" s="4">
        <f t="shared" si="49"/>
        <v>2026</v>
      </c>
      <c r="B673" s="4">
        <f t="shared" si="50"/>
        <v>9</v>
      </c>
      <c r="C673" s="1">
        <f t="shared" si="53"/>
        <v>46284</v>
      </c>
    </row>
    <row r="674" spans="1:3">
      <c r="A674" s="4">
        <f t="shared" si="49"/>
        <v>2026</v>
      </c>
      <c r="B674" s="4">
        <f t="shared" si="50"/>
        <v>9</v>
      </c>
      <c r="C674" s="1">
        <f t="shared" si="53"/>
        <v>46285</v>
      </c>
    </row>
    <row r="675" spans="1:3">
      <c r="A675" s="4">
        <f t="shared" si="49"/>
        <v>2026</v>
      </c>
      <c r="B675" s="4">
        <f t="shared" si="50"/>
        <v>9</v>
      </c>
      <c r="C675" s="1">
        <f t="shared" si="53"/>
        <v>46286</v>
      </c>
    </row>
    <row r="676" spans="1:3">
      <c r="A676" s="4">
        <f t="shared" si="49"/>
        <v>2026</v>
      </c>
      <c r="B676" s="4">
        <f t="shared" si="50"/>
        <v>9</v>
      </c>
      <c r="C676" s="1">
        <f t="shared" si="53"/>
        <v>46287</v>
      </c>
    </row>
    <row r="677" spans="1:3">
      <c r="A677" s="4">
        <f t="shared" si="49"/>
        <v>2026</v>
      </c>
      <c r="B677" s="4">
        <f t="shared" si="50"/>
        <v>9</v>
      </c>
      <c r="C677" s="1">
        <f t="shared" si="53"/>
        <v>46288</v>
      </c>
    </row>
    <row r="678" spans="1:3">
      <c r="A678" s="4">
        <f t="shared" si="49"/>
        <v>2026</v>
      </c>
      <c r="B678" s="4">
        <f t="shared" si="50"/>
        <v>9</v>
      </c>
      <c r="C678" s="1">
        <f t="shared" si="53"/>
        <v>46289</v>
      </c>
    </row>
    <row r="679" spans="1:3">
      <c r="A679" s="4">
        <f t="shared" si="49"/>
        <v>2026</v>
      </c>
      <c r="B679" s="4">
        <f t="shared" si="50"/>
        <v>9</v>
      </c>
      <c r="C679" s="1">
        <f t="shared" si="53"/>
        <v>46290</v>
      </c>
    </row>
    <row r="680" spans="1:3">
      <c r="A680" s="4">
        <f t="shared" si="49"/>
        <v>2026</v>
      </c>
      <c r="B680" s="4">
        <f t="shared" si="50"/>
        <v>9</v>
      </c>
      <c r="C680" s="1">
        <f t="shared" si="53"/>
        <v>46291</v>
      </c>
    </row>
    <row r="681" spans="1:3">
      <c r="A681" s="4">
        <f t="shared" si="49"/>
        <v>2026</v>
      </c>
      <c r="B681" s="4">
        <f t="shared" si="50"/>
        <v>9</v>
      </c>
      <c r="C681" s="1">
        <f t="shared" si="53"/>
        <v>46292</v>
      </c>
    </row>
    <row r="682" spans="1:3">
      <c r="A682" s="4">
        <f t="shared" si="49"/>
        <v>2026</v>
      </c>
      <c r="B682" s="4">
        <f t="shared" si="50"/>
        <v>9</v>
      </c>
      <c r="C682" s="1">
        <f t="shared" si="53"/>
        <v>46293</v>
      </c>
    </row>
    <row r="683" spans="1:3">
      <c r="A683" s="4">
        <f t="shared" si="49"/>
        <v>2026</v>
      </c>
      <c r="B683" s="4">
        <f t="shared" si="50"/>
        <v>9</v>
      </c>
      <c r="C683" s="1">
        <f t="shared" si="53"/>
        <v>46294</v>
      </c>
    </row>
    <row r="684" spans="1:3">
      <c r="A684" s="4">
        <f t="shared" si="49"/>
        <v>2026</v>
      </c>
      <c r="B684" s="4">
        <f t="shared" si="50"/>
        <v>9</v>
      </c>
      <c r="C684" s="1">
        <f t="shared" si="53"/>
        <v>46295</v>
      </c>
    </row>
    <row r="685" spans="1:3">
      <c r="A685" s="4">
        <f t="shared" ref="A685:A748" si="54">YEAR(C685)</f>
        <v>2026</v>
      </c>
      <c r="B685" s="4">
        <f t="shared" ref="B685:B748" si="55">MONTH(C685)</f>
        <v>10</v>
      </c>
      <c r="C685" s="1">
        <f t="shared" si="53"/>
        <v>46296</v>
      </c>
    </row>
    <row r="686" spans="1:3">
      <c r="A686" s="4">
        <f t="shared" si="54"/>
        <v>2026</v>
      </c>
      <c r="B686" s="4">
        <f t="shared" si="55"/>
        <v>10</v>
      </c>
      <c r="C686" s="1">
        <f t="shared" si="53"/>
        <v>46297</v>
      </c>
    </row>
    <row r="687" spans="1:3">
      <c r="A687" s="4">
        <f t="shared" si="54"/>
        <v>2026</v>
      </c>
      <c r="B687" s="4">
        <f t="shared" si="55"/>
        <v>10</v>
      </c>
      <c r="C687" s="1">
        <f t="shared" si="53"/>
        <v>46298</v>
      </c>
    </row>
    <row r="688" spans="1:3">
      <c r="A688" s="4">
        <f t="shared" si="54"/>
        <v>2026</v>
      </c>
      <c r="B688" s="4">
        <f t="shared" si="55"/>
        <v>10</v>
      </c>
      <c r="C688" s="1">
        <f t="shared" si="53"/>
        <v>46299</v>
      </c>
    </row>
    <row r="689" spans="1:3">
      <c r="A689" s="4">
        <f t="shared" si="54"/>
        <v>2026</v>
      </c>
      <c r="B689" s="4">
        <f t="shared" si="55"/>
        <v>10</v>
      </c>
      <c r="C689" s="1">
        <f t="shared" si="53"/>
        <v>46300</v>
      </c>
    </row>
    <row r="690" spans="1:3">
      <c r="A690" s="4">
        <f t="shared" si="54"/>
        <v>2026</v>
      </c>
      <c r="B690" s="4">
        <f t="shared" si="55"/>
        <v>10</v>
      </c>
      <c r="C690" s="1">
        <f t="shared" si="53"/>
        <v>46301</v>
      </c>
    </row>
    <row r="691" spans="1:3">
      <c r="A691" s="4">
        <f t="shared" si="54"/>
        <v>2026</v>
      </c>
      <c r="B691" s="4">
        <f t="shared" si="55"/>
        <v>10</v>
      </c>
      <c r="C691" s="1">
        <f t="shared" si="53"/>
        <v>46302</v>
      </c>
    </row>
    <row r="692" spans="1:3">
      <c r="A692" s="4">
        <f t="shared" si="54"/>
        <v>2026</v>
      </c>
      <c r="B692" s="4">
        <f t="shared" si="55"/>
        <v>10</v>
      </c>
      <c r="C692" s="1">
        <f t="shared" si="53"/>
        <v>46303</v>
      </c>
    </row>
    <row r="693" spans="1:3">
      <c r="A693" s="4">
        <f t="shared" si="54"/>
        <v>2026</v>
      </c>
      <c r="B693" s="4">
        <f t="shared" si="55"/>
        <v>10</v>
      </c>
      <c r="C693" s="1">
        <f t="shared" si="53"/>
        <v>46304</v>
      </c>
    </row>
    <row r="694" spans="1:3">
      <c r="A694" s="4">
        <f t="shared" si="54"/>
        <v>2026</v>
      </c>
      <c r="B694" s="4">
        <f t="shared" si="55"/>
        <v>10</v>
      </c>
      <c r="C694" s="1">
        <f t="shared" si="53"/>
        <v>46305</v>
      </c>
    </row>
    <row r="695" spans="1:3">
      <c r="A695" s="4">
        <f t="shared" si="54"/>
        <v>2026</v>
      </c>
      <c r="B695" s="4">
        <f t="shared" si="55"/>
        <v>10</v>
      </c>
      <c r="C695" s="1">
        <f t="shared" si="53"/>
        <v>46306</v>
      </c>
    </row>
    <row r="696" spans="1:3">
      <c r="A696" s="4">
        <f t="shared" si="54"/>
        <v>2026</v>
      </c>
      <c r="B696" s="4">
        <f t="shared" si="55"/>
        <v>10</v>
      </c>
      <c r="C696" s="1">
        <f t="shared" si="53"/>
        <v>46307</v>
      </c>
    </row>
    <row r="697" spans="1:3">
      <c r="A697" s="4">
        <f t="shared" si="54"/>
        <v>2026</v>
      </c>
      <c r="B697" s="4">
        <f t="shared" si="55"/>
        <v>10</v>
      </c>
      <c r="C697" s="1">
        <f t="shared" si="53"/>
        <v>46308</v>
      </c>
    </row>
    <row r="698" spans="1:3">
      <c r="A698" s="4">
        <f t="shared" si="54"/>
        <v>2026</v>
      </c>
      <c r="B698" s="4">
        <f t="shared" si="55"/>
        <v>10</v>
      </c>
      <c r="C698" s="1">
        <f t="shared" si="53"/>
        <v>46309</v>
      </c>
    </row>
    <row r="699" spans="1:3">
      <c r="A699" s="4">
        <f t="shared" si="54"/>
        <v>2026</v>
      </c>
      <c r="B699" s="4">
        <f t="shared" si="55"/>
        <v>10</v>
      </c>
      <c r="C699" s="1">
        <f t="shared" si="53"/>
        <v>46310</v>
      </c>
    </row>
    <row r="700" spans="1:3">
      <c r="A700" s="4">
        <f t="shared" si="54"/>
        <v>2026</v>
      </c>
      <c r="B700" s="4">
        <f t="shared" si="55"/>
        <v>10</v>
      </c>
      <c r="C700" s="1">
        <f t="shared" si="53"/>
        <v>46311</v>
      </c>
    </row>
    <row r="701" spans="1:3">
      <c r="A701" s="4">
        <f t="shared" si="54"/>
        <v>2026</v>
      </c>
      <c r="B701" s="4">
        <f t="shared" si="55"/>
        <v>10</v>
      </c>
      <c r="C701" s="1">
        <f t="shared" si="53"/>
        <v>46312</v>
      </c>
    </row>
    <row r="702" spans="1:3">
      <c r="A702" s="4">
        <f t="shared" si="54"/>
        <v>2026</v>
      </c>
      <c r="B702" s="4">
        <f t="shared" si="55"/>
        <v>10</v>
      </c>
      <c r="C702" s="1">
        <f t="shared" si="53"/>
        <v>46313</v>
      </c>
    </row>
    <row r="703" spans="1:3">
      <c r="A703" s="4">
        <f t="shared" si="54"/>
        <v>2026</v>
      </c>
      <c r="B703" s="4">
        <f t="shared" si="55"/>
        <v>10</v>
      </c>
      <c r="C703" s="1">
        <f t="shared" si="53"/>
        <v>46314</v>
      </c>
    </row>
    <row r="704" spans="1:3">
      <c r="A704" s="4">
        <f t="shared" si="54"/>
        <v>2026</v>
      </c>
      <c r="B704" s="4">
        <f t="shared" si="55"/>
        <v>10</v>
      </c>
      <c r="C704" s="1">
        <f t="shared" si="53"/>
        <v>46315</v>
      </c>
    </row>
    <row r="705" spans="1:3">
      <c r="A705" s="4">
        <f t="shared" si="54"/>
        <v>2026</v>
      </c>
      <c r="B705" s="4">
        <f t="shared" si="55"/>
        <v>10</v>
      </c>
      <c r="C705" s="1">
        <f t="shared" si="53"/>
        <v>46316</v>
      </c>
    </row>
    <row r="706" spans="1:3">
      <c r="A706" s="4">
        <f t="shared" si="54"/>
        <v>2026</v>
      </c>
      <c r="B706" s="4">
        <f t="shared" si="55"/>
        <v>10</v>
      </c>
      <c r="C706" s="1">
        <f t="shared" si="53"/>
        <v>46317</v>
      </c>
    </row>
    <row r="707" spans="1:3">
      <c r="A707" s="4">
        <f t="shared" si="54"/>
        <v>2026</v>
      </c>
      <c r="B707" s="4">
        <f t="shared" si="55"/>
        <v>10</v>
      </c>
      <c r="C707" s="1">
        <f t="shared" si="53"/>
        <v>46318</v>
      </c>
    </row>
    <row r="708" spans="1:3">
      <c r="A708" s="4">
        <f t="shared" si="54"/>
        <v>2026</v>
      </c>
      <c r="B708" s="4">
        <f t="shared" si="55"/>
        <v>10</v>
      </c>
      <c r="C708" s="1">
        <f t="shared" si="53"/>
        <v>46319</v>
      </c>
    </row>
    <row r="709" spans="1:3">
      <c r="A709" s="4">
        <f t="shared" si="54"/>
        <v>2026</v>
      </c>
      <c r="B709" s="4">
        <f t="shared" si="55"/>
        <v>10</v>
      </c>
      <c r="C709" s="1">
        <f t="shared" si="53"/>
        <v>46320</v>
      </c>
    </row>
    <row r="710" spans="1:3">
      <c r="A710" s="4">
        <f t="shared" si="54"/>
        <v>2026</v>
      </c>
      <c r="B710" s="4">
        <f t="shared" si="55"/>
        <v>10</v>
      </c>
      <c r="C710" s="1">
        <f t="shared" si="53"/>
        <v>46321</v>
      </c>
    </row>
    <row r="711" spans="1:3">
      <c r="A711" s="4">
        <f t="shared" si="54"/>
        <v>2026</v>
      </c>
      <c r="B711" s="4">
        <f t="shared" si="55"/>
        <v>10</v>
      </c>
      <c r="C711" s="1">
        <f t="shared" si="53"/>
        <v>46322</v>
      </c>
    </row>
    <row r="712" spans="1:3">
      <c r="A712" s="4">
        <f t="shared" si="54"/>
        <v>2026</v>
      </c>
      <c r="B712" s="4">
        <f t="shared" si="55"/>
        <v>10</v>
      </c>
      <c r="C712" s="1">
        <f t="shared" si="53"/>
        <v>46323</v>
      </c>
    </row>
    <row r="713" spans="1:3">
      <c r="A713" s="4">
        <f t="shared" si="54"/>
        <v>2026</v>
      </c>
      <c r="B713" s="4">
        <f t="shared" si="55"/>
        <v>10</v>
      </c>
      <c r="C713" s="1">
        <f t="shared" ref="C713:C776" si="56">C712+1</f>
        <v>46324</v>
      </c>
    </row>
    <row r="714" spans="1:3">
      <c r="A714" s="4">
        <f t="shared" si="54"/>
        <v>2026</v>
      </c>
      <c r="B714" s="4">
        <f t="shared" si="55"/>
        <v>10</v>
      </c>
      <c r="C714" s="1">
        <f t="shared" si="56"/>
        <v>46325</v>
      </c>
    </row>
    <row r="715" spans="1:3">
      <c r="A715" s="4">
        <f t="shared" si="54"/>
        <v>2026</v>
      </c>
      <c r="B715" s="4">
        <f t="shared" si="55"/>
        <v>10</v>
      </c>
      <c r="C715" s="1">
        <f t="shared" si="56"/>
        <v>46326</v>
      </c>
    </row>
    <row r="716" spans="1:3">
      <c r="A716" s="4">
        <f t="shared" si="54"/>
        <v>2026</v>
      </c>
      <c r="B716" s="4">
        <f t="shared" si="55"/>
        <v>11</v>
      </c>
      <c r="C716" s="1">
        <f t="shared" si="56"/>
        <v>46327</v>
      </c>
    </row>
    <row r="717" spans="1:3">
      <c r="A717" s="4">
        <f t="shared" si="54"/>
        <v>2026</v>
      </c>
      <c r="B717" s="4">
        <f t="shared" si="55"/>
        <v>11</v>
      </c>
      <c r="C717" s="1">
        <f t="shared" si="56"/>
        <v>46328</v>
      </c>
    </row>
    <row r="718" spans="1:3">
      <c r="A718" s="4">
        <f t="shared" si="54"/>
        <v>2026</v>
      </c>
      <c r="B718" s="4">
        <f t="shared" si="55"/>
        <v>11</v>
      </c>
      <c r="C718" s="1">
        <f t="shared" si="56"/>
        <v>46329</v>
      </c>
    </row>
    <row r="719" spans="1:3">
      <c r="A719" s="4">
        <f t="shared" si="54"/>
        <v>2026</v>
      </c>
      <c r="B719" s="4">
        <f t="shared" si="55"/>
        <v>11</v>
      </c>
      <c r="C719" s="1">
        <f t="shared" si="56"/>
        <v>46330</v>
      </c>
    </row>
    <row r="720" spans="1:3">
      <c r="A720" s="4">
        <f t="shared" si="54"/>
        <v>2026</v>
      </c>
      <c r="B720" s="4">
        <f t="shared" si="55"/>
        <v>11</v>
      </c>
      <c r="C720" s="1">
        <f t="shared" si="56"/>
        <v>46331</v>
      </c>
    </row>
    <row r="721" spans="1:3">
      <c r="A721" s="4">
        <f t="shared" si="54"/>
        <v>2026</v>
      </c>
      <c r="B721" s="4">
        <f t="shared" si="55"/>
        <v>11</v>
      </c>
      <c r="C721" s="1">
        <f t="shared" si="56"/>
        <v>46332</v>
      </c>
    </row>
    <row r="722" spans="1:3">
      <c r="A722" s="4">
        <f t="shared" si="54"/>
        <v>2026</v>
      </c>
      <c r="B722" s="4">
        <f t="shared" si="55"/>
        <v>11</v>
      </c>
      <c r="C722" s="1">
        <f t="shared" si="56"/>
        <v>46333</v>
      </c>
    </row>
    <row r="723" spans="1:3">
      <c r="A723" s="4">
        <f t="shared" si="54"/>
        <v>2026</v>
      </c>
      <c r="B723" s="4">
        <f t="shared" si="55"/>
        <v>11</v>
      </c>
      <c r="C723" s="1">
        <f t="shared" si="56"/>
        <v>46334</v>
      </c>
    </row>
    <row r="724" spans="1:3">
      <c r="A724" s="4">
        <f t="shared" si="54"/>
        <v>2026</v>
      </c>
      <c r="B724" s="4">
        <f t="shared" si="55"/>
        <v>11</v>
      </c>
      <c r="C724" s="1">
        <f t="shared" si="56"/>
        <v>46335</v>
      </c>
    </row>
    <row r="725" spans="1:3">
      <c r="A725" s="4">
        <f t="shared" si="54"/>
        <v>2026</v>
      </c>
      <c r="B725" s="4">
        <f t="shared" si="55"/>
        <v>11</v>
      </c>
      <c r="C725" s="1">
        <f t="shared" si="56"/>
        <v>46336</v>
      </c>
    </row>
    <row r="726" spans="1:3">
      <c r="A726" s="4">
        <f t="shared" si="54"/>
        <v>2026</v>
      </c>
      <c r="B726" s="4">
        <f t="shared" si="55"/>
        <v>11</v>
      </c>
      <c r="C726" s="1">
        <f t="shared" si="56"/>
        <v>46337</v>
      </c>
    </row>
    <row r="727" spans="1:3">
      <c r="A727" s="4">
        <f t="shared" si="54"/>
        <v>2026</v>
      </c>
      <c r="B727" s="4">
        <f t="shared" si="55"/>
        <v>11</v>
      </c>
      <c r="C727" s="1">
        <f t="shared" si="56"/>
        <v>46338</v>
      </c>
    </row>
    <row r="728" spans="1:3">
      <c r="A728" s="4">
        <f t="shared" si="54"/>
        <v>2026</v>
      </c>
      <c r="B728" s="4">
        <f t="shared" si="55"/>
        <v>11</v>
      </c>
      <c r="C728" s="1">
        <f t="shared" si="56"/>
        <v>46339</v>
      </c>
    </row>
    <row r="729" spans="1:3">
      <c r="A729" s="4">
        <f t="shared" si="54"/>
        <v>2026</v>
      </c>
      <c r="B729" s="4">
        <f t="shared" si="55"/>
        <v>11</v>
      </c>
      <c r="C729" s="1">
        <f t="shared" si="56"/>
        <v>46340</v>
      </c>
    </row>
    <row r="730" spans="1:3">
      <c r="A730" s="4">
        <f t="shared" si="54"/>
        <v>2026</v>
      </c>
      <c r="B730" s="4">
        <f t="shared" si="55"/>
        <v>11</v>
      </c>
      <c r="C730" s="1">
        <f t="shared" si="56"/>
        <v>46341</v>
      </c>
    </row>
    <row r="731" spans="1:3">
      <c r="A731" s="4">
        <f t="shared" si="54"/>
        <v>2026</v>
      </c>
      <c r="B731" s="4">
        <f t="shared" si="55"/>
        <v>11</v>
      </c>
      <c r="C731" s="1">
        <f t="shared" si="56"/>
        <v>46342</v>
      </c>
    </row>
    <row r="732" spans="1:3">
      <c r="A732" s="4">
        <f t="shared" si="54"/>
        <v>2026</v>
      </c>
      <c r="B732" s="4">
        <f t="shared" si="55"/>
        <v>11</v>
      </c>
      <c r="C732" s="1">
        <f t="shared" si="56"/>
        <v>46343</v>
      </c>
    </row>
    <row r="733" spans="1:3">
      <c r="A733" s="4">
        <f t="shared" si="54"/>
        <v>2026</v>
      </c>
      <c r="B733" s="4">
        <f t="shared" si="55"/>
        <v>11</v>
      </c>
      <c r="C733" s="1">
        <f t="shared" si="56"/>
        <v>46344</v>
      </c>
    </row>
    <row r="734" spans="1:3">
      <c r="A734" s="4">
        <f t="shared" si="54"/>
        <v>2026</v>
      </c>
      <c r="B734" s="4">
        <f t="shared" si="55"/>
        <v>11</v>
      </c>
      <c r="C734" s="1">
        <f t="shared" si="56"/>
        <v>46345</v>
      </c>
    </row>
    <row r="735" spans="1:3">
      <c r="A735" s="4">
        <f t="shared" si="54"/>
        <v>2026</v>
      </c>
      <c r="B735" s="4">
        <f t="shared" si="55"/>
        <v>11</v>
      </c>
      <c r="C735" s="1">
        <f t="shared" si="56"/>
        <v>46346</v>
      </c>
    </row>
    <row r="736" spans="1:3">
      <c r="A736" s="4">
        <f t="shared" si="54"/>
        <v>2026</v>
      </c>
      <c r="B736" s="4">
        <f t="shared" si="55"/>
        <v>11</v>
      </c>
      <c r="C736" s="1">
        <f t="shared" si="56"/>
        <v>46347</v>
      </c>
    </row>
    <row r="737" spans="1:3">
      <c r="A737" s="4">
        <f t="shared" si="54"/>
        <v>2026</v>
      </c>
      <c r="B737" s="4">
        <f t="shared" si="55"/>
        <v>11</v>
      </c>
      <c r="C737" s="1">
        <f t="shared" si="56"/>
        <v>46348</v>
      </c>
    </row>
    <row r="738" spans="1:3">
      <c r="A738" s="4">
        <f t="shared" si="54"/>
        <v>2026</v>
      </c>
      <c r="B738" s="4">
        <f t="shared" si="55"/>
        <v>11</v>
      </c>
      <c r="C738" s="1">
        <f t="shared" si="56"/>
        <v>46349</v>
      </c>
    </row>
    <row r="739" spans="1:3">
      <c r="A739" s="4">
        <f t="shared" si="54"/>
        <v>2026</v>
      </c>
      <c r="B739" s="4">
        <f t="shared" si="55"/>
        <v>11</v>
      </c>
      <c r="C739" s="1">
        <f t="shared" si="56"/>
        <v>46350</v>
      </c>
    </row>
    <row r="740" spans="1:3">
      <c r="A740" s="4">
        <f t="shared" si="54"/>
        <v>2026</v>
      </c>
      <c r="B740" s="4">
        <f t="shared" si="55"/>
        <v>11</v>
      </c>
      <c r="C740" s="1">
        <f t="shared" si="56"/>
        <v>46351</v>
      </c>
    </row>
    <row r="741" spans="1:3">
      <c r="A741" s="4">
        <f t="shared" si="54"/>
        <v>2026</v>
      </c>
      <c r="B741" s="4">
        <f t="shared" si="55"/>
        <v>11</v>
      </c>
      <c r="C741" s="1">
        <f t="shared" si="56"/>
        <v>46352</v>
      </c>
    </row>
    <row r="742" spans="1:3">
      <c r="A742" s="4">
        <f t="shared" si="54"/>
        <v>2026</v>
      </c>
      <c r="B742" s="4">
        <f t="shared" si="55"/>
        <v>11</v>
      </c>
      <c r="C742" s="1">
        <f t="shared" si="56"/>
        <v>46353</v>
      </c>
    </row>
    <row r="743" spans="1:3">
      <c r="A743" s="4">
        <f t="shared" si="54"/>
        <v>2026</v>
      </c>
      <c r="B743" s="4">
        <f t="shared" si="55"/>
        <v>11</v>
      </c>
      <c r="C743" s="1">
        <f t="shared" si="56"/>
        <v>46354</v>
      </c>
    </row>
    <row r="744" spans="1:3">
      <c r="A744" s="4">
        <f t="shared" si="54"/>
        <v>2026</v>
      </c>
      <c r="B744" s="4">
        <f t="shared" si="55"/>
        <v>11</v>
      </c>
      <c r="C744" s="1">
        <f t="shared" si="56"/>
        <v>46355</v>
      </c>
    </row>
    <row r="745" spans="1:3">
      <c r="A745" s="4">
        <f t="shared" si="54"/>
        <v>2026</v>
      </c>
      <c r="B745" s="4">
        <f t="shared" si="55"/>
        <v>11</v>
      </c>
      <c r="C745" s="1">
        <f t="shared" si="56"/>
        <v>46356</v>
      </c>
    </row>
    <row r="746" spans="1:3">
      <c r="A746" s="4">
        <f t="shared" si="54"/>
        <v>2026</v>
      </c>
      <c r="B746" s="4">
        <f t="shared" si="55"/>
        <v>12</v>
      </c>
      <c r="C746" s="1">
        <f t="shared" si="56"/>
        <v>46357</v>
      </c>
    </row>
    <row r="747" spans="1:3">
      <c r="A747" s="4">
        <f t="shared" si="54"/>
        <v>2026</v>
      </c>
      <c r="B747" s="4">
        <f t="shared" si="55"/>
        <v>12</v>
      </c>
      <c r="C747" s="1">
        <f t="shared" si="56"/>
        <v>46358</v>
      </c>
    </row>
    <row r="748" spans="1:3">
      <c r="A748" s="4">
        <f t="shared" si="54"/>
        <v>2026</v>
      </c>
      <c r="B748" s="4">
        <f t="shared" si="55"/>
        <v>12</v>
      </c>
      <c r="C748" s="1">
        <f t="shared" si="56"/>
        <v>46359</v>
      </c>
    </row>
    <row r="749" spans="1:3">
      <c r="A749" s="4">
        <f t="shared" ref="A749:A812" si="57">YEAR(C749)</f>
        <v>2026</v>
      </c>
      <c r="B749" s="4">
        <f t="shared" ref="B749:B812" si="58">MONTH(C749)</f>
        <v>12</v>
      </c>
      <c r="C749" s="1">
        <f t="shared" si="56"/>
        <v>46360</v>
      </c>
    </row>
    <row r="750" spans="1:3">
      <c r="A750" s="4">
        <f t="shared" si="57"/>
        <v>2026</v>
      </c>
      <c r="B750" s="4">
        <f t="shared" si="58"/>
        <v>12</v>
      </c>
      <c r="C750" s="1">
        <f t="shared" si="56"/>
        <v>46361</v>
      </c>
    </row>
    <row r="751" spans="1:3">
      <c r="A751" s="4">
        <f t="shared" si="57"/>
        <v>2026</v>
      </c>
      <c r="B751" s="4">
        <f t="shared" si="58"/>
        <v>12</v>
      </c>
      <c r="C751" s="1">
        <f t="shared" si="56"/>
        <v>46362</v>
      </c>
    </row>
    <row r="752" spans="1:3">
      <c r="A752" s="4">
        <f t="shared" si="57"/>
        <v>2026</v>
      </c>
      <c r="B752" s="4">
        <f t="shared" si="58"/>
        <v>12</v>
      </c>
      <c r="C752" s="1">
        <f t="shared" si="56"/>
        <v>46363</v>
      </c>
    </row>
    <row r="753" spans="1:3">
      <c r="A753" s="4">
        <f t="shared" si="57"/>
        <v>2026</v>
      </c>
      <c r="B753" s="4">
        <f t="shared" si="58"/>
        <v>12</v>
      </c>
      <c r="C753" s="1">
        <f t="shared" si="56"/>
        <v>46364</v>
      </c>
    </row>
    <row r="754" spans="1:3">
      <c r="A754" s="4">
        <f t="shared" si="57"/>
        <v>2026</v>
      </c>
      <c r="B754" s="4">
        <f t="shared" si="58"/>
        <v>12</v>
      </c>
      <c r="C754" s="1">
        <f t="shared" si="56"/>
        <v>46365</v>
      </c>
    </row>
    <row r="755" spans="1:3">
      <c r="A755" s="4">
        <f t="shared" si="57"/>
        <v>2026</v>
      </c>
      <c r="B755" s="4">
        <f t="shared" si="58"/>
        <v>12</v>
      </c>
      <c r="C755" s="1">
        <f t="shared" si="56"/>
        <v>46366</v>
      </c>
    </row>
    <row r="756" spans="1:3">
      <c r="A756" s="4">
        <f t="shared" si="57"/>
        <v>2026</v>
      </c>
      <c r="B756" s="4">
        <f t="shared" si="58"/>
        <v>12</v>
      </c>
      <c r="C756" s="1">
        <f t="shared" si="56"/>
        <v>46367</v>
      </c>
    </row>
    <row r="757" spans="1:3">
      <c r="A757" s="4">
        <f t="shared" si="57"/>
        <v>2026</v>
      </c>
      <c r="B757" s="4">
        <f t="shared" si="58"/>
        <v>12</v>
      </c>
      <c r="C757" s="1">
        <f t="shared" si="56"/>
        <v>46368</v>
      </c>
    </row>
    <row r="758" spans="1:3">
      <c r="A758" s="4">
        <f t="shared" si="57"/>
        <v>2026</v>
      </c>
      <c r="B758" s="4">
        <f t="shared" si="58"/>
        <v>12</v>
      </c>
      <c r="C758" s="1">
        <f t="shared" si="56"/>
        <v>46369</v>
      </c>
    </row>
    <row r="759" spans="1:3">
      <c r="A759" s="4">
        <f t="shared" si="57"/>
        <v>2026</v>
      </c>
      <c r="B759" s="4">
        <f t="shared" si="58"/>
        <v>12</v>
      </c>
      <c r="C759" s="1">
        <f t="shared" si="56"/>
        <v>46370</v>
      </c>
    </row>
    <row r="760" spans="1:3">
      <c r="A760" s="4">
        <f t="shared" si="57"/>
        <v>2026</v>
      </c>
      <c r="B760" s="4">
        <f t="shared" si="58"/>
        <v>12</v>
      </c>
      <c r="C760" s="1">
        <f t="shared" si="56"/>
        <v>46371</v>
      </c>
    </row>
    <row r="761" spans="1:3">
      <c r="A761" s="4">
        <f t="shared" si="57"/>
        <v>2026</v>
      </c>
      <c r="B761" s="4">
        <f t="shared" si="58"/>
        <v>12</v>
      </c>
      <c r="C761" s="1">
        <f t="shared" si="56"/>
        <v>46372</v>
      </c>
    </row>
    <row r="762" spans="1:3">
      <c r="A762" s="4">
        <f t="shared" si="57"/>
        <v>2026</v>
      </c>
      <c r="B762" s="4">
        <f t="shared" si="58"/>
        <v>12</v>
      </c>
      <c r="C762" s="1">
        <f t="shared" si="56"/>
        <v>46373</v>
      </c>
    </row>
    <row r="763" spans="1:3">
      <c r="A763" s="4">
        <f t="shared" si="57"/>
        <v>2026</v>
      </c>
      <c r="B763" s="4">
        <f t="shared" si="58"/>
        <v>12</v>
      </c>
      <c r="C763" s="1">
        <f t="shared" si="56"/>
        <v>46374</v>
      </c>
    </row>
    <row r="764" spans="1:3">
      <c r="A764" s="4">
        <f t="shared" si="57"/>
        <v>2026</v>
      </c>
      <c r="B764" s="4">
        <f t="shared" si="58"/>
        <v>12</v>
      </c>
      <c r="C764" s="1">
        <f t="shared" si="56"/>
        <v>46375</v>
      </c>
    </row>
    <row r="765" spans="1:3">
      <c r="A765" s="4">
        <f t="shared" si="57"/>
        <v>2026</v>
      </c>
      <c r="B765" s="4">
        <f t="shared" si="58"/>
        <v>12</v>
      </c>
      <c r="C765" s="1">
        <f t="shared" si="56"/>
        <v>46376</v>
      </c>
    </row>
    <row r="766" spans="1:3">
      <c r="A766" s="4">
        <f t="shared" si="57"/>
        <v>2026</v>
      </c>
      <c r="B766" s="4">
        <f t="shared" si="58"/>
        <v>12</v>
      </c>
      <c r="C766" s="1">
        <f t="shared" si="56"/>
        <v>46377</v>
      </c>
    </row>
    <row r="767" spans="1:3">
      <c r="A767" s="4">
        <f t="shared" si="57"/>
        <v>2026</v>
      </c>
      <c r="B767" s="4">
        <f t="shared" si="58"/>
        <v>12</v>
      </c>
      <c r="C767" s="1">
        <f t="shared" si="56"/>
        <v>46378</v>
      </c>
    </row>
    <row r="768" spans="1:3">
      <c r="A768" s="4">
        <f t="shared" si="57"/>
        <v>2026</v>
      </c>
      <c r="B768" s="4">
        <f t="shared" si="58"/>
        <v>12</v>
      </c>
      <c r="C768" s="1">
        <f t="shared" si="56"/>
        <v>46379</v>
      </c>
    </row>
    <row r="769" spans="1:3">
      <c r="A769" s="4">
        <f t="shared" si="57"/>
        <v>2026</v>
      </c>
      <c r="B769" s="4">
        <f t="shared" si="58"/>
        <v>12</v>
      </c>
      <c r="C769" s="1">
        <f t="shared" si="56"/>
        <v>46380</v>
      </c>
    </row>
    <row r="770" spans="1:3">
      <c r="A770" s="4">
        <f t="shared" si="57"/>
        <v>2026</v>
      </c>
      <c r="B770" s="4">
        <f t="shared" si="58"/>
        <v>12</v>
      </c>
      <c r="C770" s="1">
        <f t="shared" si="56"/>
        <v>46381</v>
      </c>
    </row>
    <row r="771" spans="1:3">
      <c r="A771" s="4">
        <f t="shared" si="57"/>
        <v>2026</v>
      </c>
      <c r="B771" s="4">
        <f t="shared" si="58"/>
        <v>12</v>
      </c>
      <c r="C771" s="1">
        <f t="shared" si="56"/>
        <v>46382</v>
      </c>
    </row>
    <row r="772" spans="1:3">
      <c r="A772" s="4">
        <f t="shared" si="57"/>
        <v>2026</v>
      </c>
      <c r="B772" s="4">
        <f t="shared" si="58"/>
        <v>12</v>
      </c>
      <c r="C772" s="1">
        <f t="shared" si="56"/>
        <v>46383</v>
      </c>
    </row>
    <row r="773" spans="1:3">
      <c r="A773" s="4">
        <f t="shared" si="57"/>
        <v>2026</v>
      </c>
      <c r="B773" s="4">
        <f t="shared" si="58"/>
        <v>12</v>
      </c>
      <c r="C773" s="1">
        <f t="shared" si="56"/>
        <v>46384</v>
      </c>
    </row>
    <row r="774" spans="1:3">
      <c r="A774" s="4">
        <f t="shared" si="57"/>
        <v>2026</v>
      </c>
      <c r="B774" s="4">
        <f t="shared" si="58"/>
        <v>12</v>
      </c>
      <c r="C774" s="1">
        <f t="shared" si="56"/>
        <v>46385</v>
      </c>
    </row>
    <row r="775" spans="1:3">
      <c r="A775" s="4">
        <f t="shared" si="57"/>
        <v>2026</v>
      </c>
      <c r="B775" s="4">
        <f t="shared" si="58"/>
        <v>12</v>
      </c>
      <c r="C775" s="1">
        <f t="shared" si="56"/>
        <v>46386</v>
      </c>
    </row>
    <row r="776" spans="1:3">
      <c r="A776" s="4">
        <f t="shared" si="57"/>
        <v>2026</v>
      </c>
      <c r="B776" s="4">
        <f t="shared" si="58"/>
        <v>12</v>
      </c>
      <c r="C776" s="1">
        <f t="shared" si="56"/>
        <v>46387</v>
      </c>
    </row>
    <row r="777" spans="1:3">
      <c r="A777" s="4">
        <f t="shared" si="57"/>
        <v>2027</v>
      </c>
      <c r="B777" s="4">
        <f t="shared" si="58"/>
        <v>1</v>
      </c>
      <c r="C777" s="1">
        <f t="shared" ref="C777:C840" si="59">C776+1</f>
        <v>46388</v>
      </c>
    </row>
    <row r="778" spans="1:3">
      <c r="A778" s="4">
        <f t="shared" si="57"/>
        <v>2027</v>
      </c>
      <c r="B778" s="4">
        <f t="shared" si="58"/>
        <v>1</v>
      </c>
      <c r="C778" s="1">
        <f t="shared" si="59"/>
        <v>46389</v>
      </c>
    </row>
    <row r="779" spans="1:3">
      <c r="A779" s="4">
        <f t="shared" si="57"/>
        <v>2027</v>
      </c>
      <c r="B779" s="4">
        <f t="shared" si="58"/>
        <v>1</v>
      </c>
      <c r="C779" s="1">
        <f t="shared" si="59"/>
        <v>46390</v>
      </c>
    </row>
    <row r="780" spans="1:3">
      <c r="A780" s="4">
        <f t="shared" si="57"/>
        <v>2027</v>
      </c>
      <c r="B780" s="4">
        <f t="shared" si="58"/>
        <v>1</v>
      </c>
      <c r="C780" s="1">
        <f t="shared" si="59"/>
        <v>46391</v>
      </c>
    </row>
    <row r="781" spans="1:3">
      <c r="A781" s="4">
        <f t="shared" si="57"/>
        <v>2027</v>
      </c>
      <c r="B781" s="4">
        <f t="shared" si="58"/>
        <v>1</v>
      </c>
      <c r="C781" s="1">
        <f t="shared" si="59"/>
        <v>46392</v>
      </c>
    </row>
    <row r="782" spans="1:3">
      <c r="A782" s="4">
        <f t="shared" si="57"/>
        <v>2027</v>
      </c>
      <c r="B782" s="4">
        <f t="shared" si="58"/>
        <v>1</v>
      </c>
      <c r="C782" s="1">
        <f t="shared" si="59"/>
        <v>46393</v>
      </c>
    </row>
    <row r="783" spans="1:3">
      <c r="A783" s="4">
        <f t="shared" si="57"/>
        <v>2027</v>
      </c>
      <c r="B783" s="4">
        <f t="shared" si="58"/>
        <v>1</v>
      </c>
      <c r="C783" s="1">
        <f t="shared" si="59"/>
        <v>46394</v>
      </c>
    </row>
    <row r="784" spans="1:3">
      <c r="A784" s="4">
        <f t="shared" si="57"/>
        <v>2027</v>
      </c>
      <c r="B784" s="4">
        <f t="shared" si="58"/>
        <v>1</v>
      </c>
      <c r="C784" s="1">
        <f t="shared" si="59"/>
        <v>46395</v>
      </c>
    </row>
    <row r="785" spans="1:3">
      <c r="A785" s="4">
        <f t="shared" si="57"/>
        <v>2027</v>
      </c>
      <c r="B785" s="4">
        <f t="shared" si="58"/>
        <v>1</v>
      </c>
      <c r="C785" s="1">
        <f t="shared" si="59"/>
        <v>46396</v>
      </c>
    </row>
    <row r="786" spans="1:3">
      <c r="A786" s="4">
        <f t="shared" si="57"/>
        <v>2027</v>
      </c>
      <c r="B786" s="4">
        <f t="shared" si="58"/>
        <v>1</v>
      </c>
      <c r="C786" s="1">
        <f t="shared" si="59"/>
        <v>46397</v>
      </c>
    </row>
    <row r="787" spans="1:3">
      <c r="A787" s="4">
        <f t="shared" si="57"/>
        <v>2027</v>
      </c>
      <c r="B787" s="4">
        <f t="shared" si="58"/>
        <v>1</v>
      </c>
      <c r="C787" s="1">
        <f t="shared" si="59"/>
        <v>46398</v>
      </c>
    </row>
    <row r="788" spans="1:3">
      <c r="A788" s="4">
        <f t="shared" si="57"/>
        <v>2027</v>
      </c>
      <c r="B788" s="4">
        <f t="shared" si="58"/>
        <v>1</v>
      </c>
      <c r="C788" s="1">
        <f t="shared" si="59"/>
        <v>46399</v>
      </c>
    </row>
    <row r="789" spans="1:3">
      <c r="A789" s="4">
        <f t="shared" si="57"/>
        <v>2027</v>
      </c>
      <c r="B789" s="4">
        <f t="shared" si="58"/>
        <v>1</v>
      </c>
      <c r="C789" s="1">
        <f t="shared" si="59"/>
        <v>46400</v>
      </c>
    </row>
    <row r="790" spans="1:3">
      <c r="A790" s="4">
        <f t="shared" si="57"/>
        <v>2027</v>
      </c>
      <c r="B790" s="4">
        <f t="shared" si="58"/>
        <v>1</v>
      </c>
      <c r="C790" s="1">
        <f t="shared" si="59"/>
        <v>46401</v>
      </c>
    </row>
    <row r="791" spans="1:3">
      <c r="A791" s="4">
        <f t="shared" si="57"/>
        <v>2027</v>
      </c>
      <c r="B791" s="4">
        <f t="shared" si="58"/>
        <v>1</v>
      </c>
      <c r="C791" s="1">
        <f t="shared" si="59"/>
        <v>46402</v>
      </c>
    </row>
    <row r="792" spans="1:3">
      <c r="A792" s="4">
        <f t="shared" si="57"/>
        <v>2027</v>
      </c>
      <c r="B792" s="4">
        <f t="shared" si="58"/>
        <v>1</v>
      </c>
      <c r="C792" s="1">
        <f t="shared" si="59"/>
        <v>46403</v>
      </c>
    </row>
    <row r="793" spans="1:3">
      <c r="A793" s="4">
        <f t="shared" si="57"/>
        <v>2027</v>
      </c>
      <c r="B793" s="4">
        <f t="shared" si="58"/>
        <v>1</v>
      </c>
      <c r="C793" s="1">
        <f t="shared" si="59"/>
        <v>46404</v>
      </c>
    </row>
    <row r="794" spans="1:3">
      <c r="A794" s="4">
        <f t="shared" si="57"/>
        <v>2027</v>
      </c>
      <c r="B794" s="4">
        <f t="shared" si="58"/>
        <v>1</v>
      </c>
      <c r="C794" s="1">
        <f t="shared" si="59"/>
        <v>46405</v>
      </c>
    </row>
    <row r="795" spans="1:3">
      <c r="A795" s="4">
        <f t="shared" si="57"/>
        <v>2027</v>
      </c>
      <c r="B795" s="4">
        <f t="shared" si="58"/>
        <v>1</v>
      </c>
      <c r="C795" s="1">
        <f t="shared" si="59"/>
        <v>46406</v>
      </c>
    </row>
    <row r="796" spans="1:3">
      <c r="A796" s="4">
        <f t="shared" si="57"/>
        <v>2027</v>
      </c>
      <c r="B796" s="4">
        <f t="shared" si="58"/>
        <v>1</v>
      </c>
      <c r="C796" s="1">
        <f t="shared" si="59"/>
        <v>46407</v>
      </c>
    </row>
    <row r="797" spans="1:3">
      <c r="A797" s="4">
        <f t="shared" si="57"/>
        <v>2027</v>
      </c>
      <c r="B797" s="4">
        <f t="shared" si="58"/>
        <v>1</v>
      </c>
      <c r="C797" s="1">
        <f t="shared" si="59"/>
        <v>46408</v>
      </c>
    </row>
    <row r="798" spans="1:3">
      <c r="A798" s="4">
        <f t="shared" si="57"/>
        <v>2027</v>
      </c>
      <c r="B798" s="4">
        <f t="shared" si="58"/>
        <v>1</v>
      </c>
      <c r="C798" s="1">
        <f t="shared" si="59"/>
        <v>46409</v>
      </c>
    </row>
    <row r="799" spans="1:3">
      <c r="A799" s="4">
        <f t="shared" si="57"/>
        <v>2027</v>
      </c>
      <c r="B799" s="4">
        <f t="shared" si="58"/>
        <v>1</v>
      </c>
      <c r="C799" s="1">
        <f t="shared" si="59"/>
        <v>46410</v>
      </c>
    </row>
    <row r="800" spans="1:3">
      <c r="A800" s="4">
        <f t="shared" si="57"/>
        <v>2027</v>
      </c>
      <c r="B800" s="4">
        <f t="shared" si="58"/>
        <v>1</v>
      </c>
      <c r="C800" s="1">
        <f t="shared" si="59"/>
        <v>46411</v>
      </c>
    </row>
    <row r="801" spans="1:3">
      <c r="A801" s="4">
        <f t="shared" si="57"/>
        <v>2027</v>
      </c>
      <c r="B801" s="4">
        <f t="shared" si="58"/>
        <v>1</v>
      </c>
      <c r="C801" s="1">
        <f t="shared" si="59"/>
        <v>46412</v>
      </c>
    </row>
    <row r="802" spans="1:3">
      <c r="A802" s="4">
        <f t="shared" si="57"/>
        <v>2027</v>
      </c>
      <c r="B802" s="4">
        <f t="shared" si="58"/>
        <v>1</v>
      </c>
      <c r="C802" s="1">
        <f t="shared" si="59"/>
        <v>46413</v>
      </c>
    </row>
    <row r="803" spans="1:3">
      <c r="A803" s="4">
        <f t="shared" si="57"/>
        <v>2027</v>
      </c>
      <c r="B803" s="4">
        <f t="shared" si="58"/>
        <v>1</v>
      </c>
      <c r="C803" s="1">
        <f t="shared" si="59"/>
        <v>46414</v>
      </c>
    </row>
    <row r="804" spans="1:3">
      <c r="A804" s="4">
        <f t="shared" si="57"/>
        <v>2027</v>
      </c>
      <c r="B804" s="4">
        <f t="shared" si="58"/>
        <v>1</v>
      </c>
      <c r="C804" s="1">
        <f t="shared" si="59"/>
        <v>46415</v>
      </c>
    </row>
    <row r="805" spans="1:3">
      <c r="A805" s="4">
        <f t="shared" si="57"/>
        <v>2027</v>
      </c>
      <c r="B805" s="4">
        <f t="shared" si="58"/>
        <v>1</v>
      </c>
      <c r="C805" s="1">
        <f t="shared" si="59"/>
        <v>46416</v>
      </c>
    </row>
    <row r="806" spans="1:3">
      <c r="A806" s="4">
        <f t="shared" si="57"/>
        <v>2027</v>
      </c>
      <c r="B806" s="4">
        <f t="shared" si="58"/>
        <v>1</v>
      </c>
      <c r="C806" s="1">
        <f t="shared" si="59"/>
        <v>46417</v>
      </c>
    </row>
    <row r="807" spans="1:3">
      <c r="A807" s="4">
        <f t="shared" si="57"/>
        <v>2027</v>
      </c>
      <c r="B807" s="4">
        <f t="shared" si="58"/>
        <v>1</v>
      </c>
      <c r="C807" s="1">
        <f t="shared" si="59"/>
        <v>46418</v>
      </c>
    </row>
    <row r="808" spans="1:3">
      <c r="A808" s="4">
        <f t="shared" si="57"/>
        <v>2027</v>
      </c>
      <c r="B808" s="4">
        <f t="shared" si="58"/>
        <v>2</v>
      </c>
      <c r="C808" s="1">
        <f t="shared" si="59"/>
        <v>46419</v>
      </c>
    </row>
    <row r="809" spans="1:3">
      <c r="A809" s="4">
        <f t="shared" si="57"/>
        <v>2027</v>
      </c>
      <c r="B809" s="4">
        <f t="shared" si="58"/>
        <v>2</v>
      </c>
      <c r="C809" s="1">
        <f t="shared" si="59"/>
        <v>46420</v>
      </c>
    </row>
    <row r="810" spans="1:3">
      <c r="A810" s="4">
        <f t="shared" si="57"/>
        <v>2027</v>
      </c>
      <c r="B810" s="4">
        <f t="shared" si="58"/>
        <v>2</v>
      </c>
      <c r="C810" s="1">
        <f t="shared" si="59"/>
        <v>46421</v>
      </c>
    </row>
    <row r="811" spans="1:3">
      <c r="A811" s="4">
        <f t="shared" si="57"/>
        <v>2027</v>
      </c>
      <c r="B811" s="4">
        <f t="shared" si="58"/>
        <v>2</v>
      </c>
      <c r="C811" s="1">
        <f t="shared" si="59"/>
        <v>46422</v>
      </c>
    </row>
    <row r="812" spans="1:3">
      <c r="A812" s="4">
        <f t="shared" si="57"/>
        <v>2027</v>
      </c>
      <c r="B812" s="4">
        <f t="shared" si="58"/>
        <v>2</v>
      </c>
      <c r="C812" s="1">
        <f t="shared" si="59"/>
        <v>46423</v>
      </c>
    </row>
    <row r="813" spans="1:3">
      <c r="A813" s="4">
        <f t="shared" ref="A813:A876" si="60">YEAR(C813)</f>
        <v>2027</v>
      </c>
      <c r="B813" s="4">
        <f t="shared" ref="B813:B876" si="61">MONTH(C813)</f>
        <v>2</v>
      </c>
      <c r="C813" s="1">
        <f t="shared" si="59"/>
        <v>46424</v>
      </c>
    </row>
    <row r="814" spans="1:3">
      <c r="A814" s="4">
        <f t="shared" si="60"/>
        <v>2027</v>
      </c>
      <c r="B814" s="4">
        <f t="shared" si="61"/>
        <v>2</v>
      </c>
      <c r="C814" s="1">
        <f t="shared" si="59"/>
        <v>46425</v>
      </c>
    </row>
    <row r="815" spans="1:3">
      <c r="A815" s="4">
        <f t="shared" si="60"/>
        <v>2027</v>
      </c>
      <c r="B815" s="4">
        <f t="shared" si="61"/>
        <v>2</v>
      </c>
      <c r="C815" s="1">
        <f t="shared" si="59"/>
        <v>46426</v>
      </c>
    </row>
    <row r="816" spans="1:3">
      <c r="A816" s="4">
        <f t="shared" si="60"/>
        <v>2027</v>
      </c>
      <c r="B816" s="4">
        <f t="shared" si="61"/>
        <v>2</v>
      </c>
      <c r="C816" s="1">
        <f t="shared" si="59"/>
        <v>46427</v>
      </c>
    </row>
    <row r="817" spans="1:3">
      <c r="A817" s="4">
        <f t="shared" si="60"/>
        <v>2027</v>
      </c>
      <c r="B817" s="4">
        <f t="shared" si="61"/>
        <v>2</v>
      </c>
      <c r="C817" s="1">
        <f t="shared" si="59"/>
        <v>46428</v>
      </c>
    </row>
    <row r="818" spans="1:3">
      <c r="A818" s="4">
        <f t="shared" si="60"/>
        <v>2027</v>
      </c>
      <c r="B818" s="4">
        <f t="shared" si="61"/>
        <v>2</v>
      </c>
      <c r="C818" s="1">
        <f t="shared" si="59"/>
        <v>46429</v>
      </c>
    </row>
    <row r="819" spans="1:3">
      <c r="A819" s="4">
        <f t="shared" si="60"/>
        <v>2027</v>
      </c>
      <c r="B819" s="4">
        <f t="shared" si="61"/>
        <v>2</v>
      </c>
      <c r="C819" s="1">
        <f t="shared" si="59"/>
        <v>46430</v>
      </c>
    </row>
    <row r="820" spans="1:3">
      <c r="A820" s="4">
        <f t="shared" si="60"/>
        <v>2027</v>
      </c>
      <c r="B820" s="4">
        <f t="shared" si="61"/>
        <v>2</v>
      </c>
      <c r="C820" s="1">
        <f t="shared" si="59"/>
        <v>46431</v>
      </c>
    </row>
    <row r="821" spans="1:3">
      <c r="A821" s="4">
        <f t="shared" si="60"/>
        <v>2027</v>
      </c>
      <c r="B821" s="4">
        <f t="shared" si="61"/>
        <v>2</v>
      </c>
      <c r="C821" s="1">
        <f t="shared" si="59"/>
        <v>46432</v>
      </c>
    </row>
    <row r="822" spans="1:3">
      <c r="A822" s="4">
        <f t="shared" si="60"/>
        <v>2027</v>
      </c>
      <c r="B822" s="4">
        <f t="shared" si="61"/>
        <v>2</v>
      </c>
      <c r="C822" s="1">
        <f t="shared" si="59"/>
        <v>46433</v>
      </c>
    </row>
    <row r="823" spans="1:3">
      <c r="A823" s="4">
        <f t="shared" si="60"/>
        <v>2027</v>
      </c>
      <c r="B823" s="4">
        <f t="shared" si="61"/>
        <v>2</v>
      </c>
      <c r="C823" s="1">
        <f t="shared" si="59"/>
        <v>46434</v>
      </c>
    </row>
    <row r="824" spans="1:3">
      <c r="A824" s="4">
        <f t="shared" si="60"/>
        <v>2027</v>
      </c>
      <c r="B824" s="4">
        <f t="shared" si="61"/>
        <v>2</v>
      </c>
      <c r="C824" s="1">
        <f t="shared" si="59"/>
        <v>46435</v>
      </c>
    </row>
    <row r="825" spans="1:3">
      <c r="A825" s="4">
        <f t="shared" si="60"/>
        <v>2027</v>
      </c>
      <c r="B825" s="4">
        <f t="shared" si="61"/>
        <v>2</v>
      </c>
      <c r="C825" s="1">
        <f t="shared" si="59"/>
        <v>46436</v>
      </c>
    </row>
    <row r="826" spans="1:3">
      <c r="A826" s="4">
        <f t="shared" si="60"/>
        <v>2027</v>
      </c>
      <c r="B826" s="4">
        <f t="shared" si="61"/>
        <v>2</v>
      </c>
      <c r="C826" s="1">
        <f t="shared" si="59"/>
        <v>46437</v>
      </c>
    </row>
    <row r="827" spans="1:3">
      <c r="A827" s="4">
        <f t="shared" si="60"/>
        <v>2027</v>
      </c>
      <c r="B827" s="4">
        <f t="shared" si="61"/>
        <v>2</v>
      </c>
      <c r="C827" s="1">
        <f t="shared" si="59"/>
        <v>46438</v>
      </c>
    </row>
    <row r="828" spans="1:3">
      <c r="A828" s="4">
        <f t="shared" si="60"/>
        <v>2027</v>
      </c>
      <c r="B828" s="4">
        <f t="shared" si="61"/>
        <v>2</v>
      </c>
      <c r="C828" s="1">
        <f t="shared" si="59"/>
        <v>46439</v>
      </c>
    </row>
    <row r="829" spans="1:3">
      <c r="A829" s="4">
        <f t="shared" si="60"/>
        <v>2027</v>
      </c>
      <c r="B829" s="4">
        <f t="shared" si="61"/>
        <v>2</v>
      </c>
      <c r="C829" s="1">
        <f t="shared" si="59"/>
        <v>46440</v>
      </c>
    </row>
    <row r="830" spans="1:3">
      <c r="A830" s="4">
        <f t="shared" si="60"/>
        <v>2027</v>
      </c>
      <c r="B830" s="4">
        <f t="shared" si="61"/>
        <v>2</v>
      </c>
      <c r="C830" s="1">
        <f t="shared" si="59"/>
        <v>46441</v>
      </c>
    </row>
    <row r="831" spans="1:3">
      <c r="A831" s="4">
        <f t="shared" si="60"/>
        <v>2027</v>
      </c>
      <c r="B831" s="4">
        <f t="shared" si="61"/>
        <v>2</v>
      </c>
      <c r="C831" s="1">
        <f t="shared" si="59"/>
        <v>46442</v>
      </c>
    </row>
    <row r="832" spans="1:3">
      <c r="A832" s="4">
        <f t="shared" si="60"/>
        <v>2027</v>
      </c>
      <c r="B832" s="4">
        <f t="shared" si="61"/>
        <v>2</v>
      </c>
      <c r="C832" s="1">
        <f t="shared" si="59"/>
        <v>46443</v>
      </c>
    </row>
    <row r="833" spans="1:3">
      <c r="A833" s="4">
        <f t="shared" si="60"/>
        <v>2027</v>
      </c>
      <c r="B833" s="4">
        <f t="shared" si="61"/>
        <v>2</v>
      </c>
      <c r="C833" s="1">
        <f t="shared" si="59"/>
        <v>46444</v>
      </c>
    </row>
    <row r="834" spans="1:3">
      <c r="A834" s="4">
        <f t="shared" si="60"/>
        <v>2027</v>
      </c>
      <c r="B834" s="4">
        <f t="shared" si="61"/>
        <v>2</v>
      </c>
      <c r="C834" s="1">
        <f t="shared" si="59"/>
        <v>46445</v>
      </c>
    </row>
    <row r="835" spans="1:3">
      <c r="A835" s="4">
        <f t="shared" si="60"/>
        <v>2027</v>
      </c>
      <c r="B835" s="4">
        <f t="shared" si="61"/>
        <v>2</v>
      </c>
      <c r="C835" s="1">
        <f t="shared" si="59"/>
        <v>46446</v>
      </c>
    </row>
    <row r="836" spans="1:3">
      <c r="A836" s="4">
        <f t="shared" si="60"/>
        <v>2027</v>
      </c>
      <c r="B836" s="4">
        <f t="shared" si="61"/>
        <v>3</v>
      </c>
      <c r="C836" s="1">
        <f t="shared" si="59"/>
        <v>46447</v>
      </c>
    </row>
    <row r="837" spans="1:3">
      <c r="A837" s="4">
        <f t="shared" si="60"/>
        <v>2027</v>
      </c>
      <c r="B837" s="4">
        <f t="shared" si="61"/>
        <v>3</v>
      </c>
      <c r="C837" s="1">
        <f t="shared" si="59"/>
        <v>46448</v>
      </c>
    </row>
    <row r="838" spans="1:3">
      <c r="A838" s="4">
        <f t="shared" si="60"/>
        <v>2027</v>
      </c>
      <c r="B838" s="4">
        <f t="shared" si="61"/>
        <v>3</v>
      </c>
      <c r="C838" s="1">
        <f t="shared" si="59"/>
        <v>46449</v>
      </c>
    </row>
    <row r="839" spans="1:3">
      <c r="A839" s="4">
        <f t="shared" si="60"/>
        <v>2027</v>
      </c>
      <c r="B839" s="4">
        <f t="shared" si="61"/>
        <v>3</v>
      </c>
      <c r="C839" s="1">
        <f t="shared" si="59"/>
        <v>46450</v>
      </c>
    </row>
    <row r="840" spans="1:3">
      <c r="A840" s="4">
        <f t="shared" si="60"/>
        <v>2027</v>
      </c>
      <c r="B840" s="4">
        <f t="shared" si="61"/>
        <v>3</v>
      </c>
      <c r="C840" s="1">
        <f t="shared" si="59"/>
        <v>46451</v>
      </c>
    </row>
    <row r="841" spans="1:3">
      <c r="A841" s="4">
        <f t="shared" si="60"/>
        <v>2027</v>
      </c>
      <c r="B841" s="4">
        <f t="shared" si="61"/>
        <v>3</v>
      </c>
      <c r="C841" s="1">
        <f t="shared" ref="C841:C904" si="62">C840+1</f>
        <v>46452</v>
      </c>
    </row>
    <row r="842" spans="1:3">
      <c r="A842" s="4">
        <f t="shared" si="60"/>
        <v>2027</v>
      </c>
      <c r="B842" s="4">
        <f t="shared" si="61"/>
        <v>3</v>
      </c>
      <c r="C842" s="1">
        <f t="shared" si="62"/>
        <v>46453</v>
      </c>
    </row>
    <row r="843" spans="1:3">
      <c r="A843" s="4">
        <f t="shared" si="60"/>
        <v>2027</v>
      </c>
      <c r="B843" s="4">
        <f t="shared" si="61"/>
        <v>3</v>
      </c>
      <c r="C843" s="1">
        <f t="shared" si="62"/>
        <v>46454</v>
      </c>
    </row>
    <row r="844" spans="1:3">
      <c r="A844" s="4">
        <f t="shared" si="60"/>
        <v>2027</v>
      </c>
      <c r="B844" s="4">
        <f t="shared" si="61"/>
        <v>3</v>
      </c>
      <c r="C844" s="1">
        <f t="shared" si="62"/>
        <v>46455</v>
      </c>
    </row>
    <row r="845" spans="1:3">
      <c r="A845" s="4">
        <f t="shared" si="60"/>
        <v>2027</v>
      </c>
      <c r="B845" s="4">
        <f t="shared" si="61"/>
        <v>3</v>
      </c>
      <c r="C845" s="1">
        <f t="shared" si="62"/>
        <v>46456</v>
      </c>
    </row>
    <row r="846" spans="1:3">
      <c r="A846" s="4">
        <f t="shared" si="60"/>
        <v>2027</v>
      </c>
      <c r="B846" s="4">
        <f t="shared" si="61"/>
        <v>3</v>
      </c>
      <c r="C846" s="1">
        <f t="shared" si="62"/>
        <v>46457</v>
      </c>
    </row>
    <row r="847" spans="1:3">
      <c r="A847" s="4">
        <f t="shared" si="60"/>
        <v>2027</v>
      </c>
      <c r="B847" s="4">
        <f t="shared" si="61"/>
        <v>3</v>
      </c>
      <c r="C847" s="1">
        <f t="shared" si="62"/>
        <v>46458</v>
      </c>
    </row>
    <row r="848" spans="1:3">
      <c r="A848" s="4">
        <f t="shared" si="60"/>
        <v>2027</v>
      </c>
      <c r="B848" s="4">
        <f t="shared" si="61"/>
        <v>3</v>
      </c>
      <c r="C848" s="1">
        <f t="shared" si="62"/>
        <v>46459</v>
      </c>
    </row>
    <row r="849" spans="1:3">
      <c r="A849" s="4">
        <f t="shared" si="60"/>
        <v>2027</v>
      </c>
      <c r="B849" s="4">
        <f t="shared" si="61"/>
        <v>3</v>
      </c>
      <c r="C849" s="1">
        <f t="shared" si="62"/>
        <v>46460</v>
      </c>
    </row>
    <row r="850" spans="1:3">
      <c r="A850" s="4">
        <f t="shared" si="60"/>
        <v>2027</v>
      </c>
      <c r="B850" s="4">
        <f t="shared" si="61"/>
        <v>3</v>
      </c>
      <c r="C850" s="1">
        <f t="shared" si="62"/>
        <v>46461</v>
      </c>
    </row>
    <row r="851" spans="1:3">
      <c r="A851" s="4">
        <f t="shared" si="60"/>
        <v>2027</v>
      </c>
      <c r="B851" s="4">
        <f t="shared" si="61"/>
        <v>3</v>
      </c>
      <c r="C851" s="1">
        <f t="shared" si="62"/>
        <v>46462</v>
      </c>
    </row>
    <row r="852" spans="1:3">
      <c r="A852" s="4">
        <f t="shared" si="60"/>
        <v>2027</v>
      </c>
      <c r="B852" s="4">
        <f t="shared" si="61"/>
        <v>3</v>
      </c>
      <c r="C852" s="1">
        <f t="shared" si="62"/>
        <v>46463</v>
      </c>
    </row>
    <row r="853" spans="1:3">
      <c r="A853" s="4">
        <f t="shared" si="60"/>
        <v>2027</v>
      </c>
      <c r="B853" s="4">
        <f t="shared" si="61"/>
        <v>3</v>
      </c>
      <c r="C853" s="1">
        <f t="shared" si="62"/>
        <v>46464</v>
      </c>
    </row>
    <row r="854" spans="1:3">
      <c r="A854" s="4">
        <f t="shared" si="60"/>
        <v>2027</v>
      </c>
      <c r="B854" s="4">
        <f t="shared" si="61"/>
        <v>3</v>
      </c>
      <c r="C854" s="1">
        <f t="shared" si="62"/>
        <v>46465</v>
      </c>
    </row>
    <row r="855" spans="1:3">
      <c r="A855" s="4">
        <f t="shared" si="60"/>
        <v>2027</v>
      </c>
      <c r="B855" s="4">
        <f t="shared" si="61"/>
        <v>3</v>
      </c>
      <c r="C855" s="1">
        <f t="shared" si="62"/>
        <v>46466</v>
      </c>
    </row>
    <row r="856" spans="1:3">
      <c r="A856" s="4">
        <f t="shared" si="60"/>
        <v>2027</v>
      </c>
      <c r="B856" s="4">
        <f t="shared" si="61"/>
        <v>3</v>
      </c>
      <c r="C856" s="1">
        <f t="shared" si="62"/>
        <v>46467</v>
      </c>
    </row>
    <row r="857" spans="1:3">
      <c r="A857" s="4">
        <f t="shared" si="60"/>
        <v>2027</v>
      </c>
      <c r="B857" s="4">
        <f t="shared" si="61"/>
        <v>3</v>
      </c>
      <c r="C857" s="1">
        <f t="shared" si="62"/>
        <v>46468</v>
      </c>
    </row>
    <row r="858" spans="1:3">
      <c r="A858" s="4">
        <f t="shared" si="60"/>
        <v>2027</v>
      </c>
      <c r="B858" s="4">
        <f t="shared" si="61"/>
        <v>3</v>
      </c>
      <c r="C858" s="1">
        <f t="shared" si="62"/>
        <v>46469</v>
      </c>
    </row>
    <row r="859" spans="1:3">
      <c r="A859" s="4">
        <f t="shared" si="60"/>
        <v>2027</v>
      </c>
      <c r="B859" s="4">
        <f t="shared" si="61"/>
        <v>3</v>
      </c>
      <c r="C859" s="1">
        <f t="shared" si="62"/>
        <v>46470</v>
      </c>
    </row>
    <row r="860" spans="1:3">
      <c r="A860" s="4">
        <f t="shared" si="60"/>
        <v>2027</v>
      </c>
      <c r="B860" s="4">
        <f t="shared" si="61"/>
        <v>3</v>
      </c>
      <c r="C860" s="1">
        <f t="shared" si="62"/>
        <v>46471</v>
      </c>
    </row>
    <row r="861" spans="1:3">
      <c r="A861" s="4">
        <f t="shared" si="60"/>
        <v>2027</v>
      </c>
      <c r="B861" s="4">
        <f t="shared" si="61"/>
        <v>3</v>
      </c>
      <c r="C861" s="1">
        <f t="shared" si="62"/>
        <v>46472</v>
      </c>
    </row>
    <row r="862" spans="1:3">
      <c r="A862" s="4">
        <f t="shared" si="60"/>
        <v>2027</v>
      </c>
      <c r="B862" s="4">
        <f t="shared" si="61"/>
        <v>3</v>
      </c>
      <c r="C862" s="1">
        <f t="shared" si="62"/>
        <v>46473</v>
      </c>
    </row>
    <row r="863" spans="1:3">
      <c r="A863" s="4">
        <f t="shared" si="60"/>
        <v>2027</v>
      </c>
      <c r="B863" s="4">
        <f t="shared" si="61"/>
        <v>3</v>
      </c>
      <c r="C863" s="1">
        <f t="shared" si="62"/>
        <v>46474</v>
      </c>
    </row>
    <row r="864" spans="1:3">
      <c r="A864" s="4">
        <f t="shared" si="60"/>
        <v>2027</v>
      </c>
      <c r="B864" s="4">
        <f t="shared" si="61"/>
        <v>3</v>
      </c>
      <c r="C864" s="1">
        <f t="shared" si="62"/>
        <v>46475</v>
      </c>
    </row>
    <row r="865" spans="1:3">
      <c r="A865" s="4">
        <f t="shared" si="60"/>
        <v>2027</v>
      </c>
      <c r="B865" s="4">
        <f t="shared" si="61"/>
        <v>3</v>
      </c>
      <c r="C865" s="1">
        <f t="shared" si="62"/>
        <v>46476</v>
      </c>
    </row>
    <row r="866" spans="1:3">
      <c r="A866" s="4">
        <f t="shared" si="60"/>
        <v>2027</v>
      </c>
      <c r="B866" s="4">
        <f t="shared" si="61"/>
        <v>3</v>
      </c>
      <c r="C866" s="1">
        <f t="shared" si="62"/>
        <v>46477</v>
      </c>
    </row>
    <row r="867" spans="1:3">
      <c r="A867" s="4">
        <f t="shared" si="60"/>
        <v>2027</v>
      </c>
      <c r="B867" s="4">
        <f t="shared" si="61"/>
        <v>4</v>
      </c>
      <c r="C867" s="1">
        <f t="shared" si="62"/>
        <v>46478</v>
      </c>
    </row>
    <row r="868" spans="1:3">
      <c r="A868" s="4">
        <f t="shared" si="60"/>
        <v>2027</v>
      </c>
      <c r="B868" s="4">
        <f t="shared" si="61"/>
        <v>4</v>
      </c>
      <c r="C868" s="1">
        <f t="shared" si="62"/>
        <v>46479</v>
      </c>
    </row>
    <row r="869" spans="1:3">
      <c r="A869" s="4">
        <f t="shared" si="60"/>
        <v>2027</v>
      </c>
      <c r="B869" s="4">
        <f t="shared" si="61"/>
        <v>4</v>
      </c>
      <c r="C869" s="1">
        <f t="shared" si="62"/>
        <v>46480</v>
      </c>
    </row>
    <row r="870" spans="1:3">
      <c r="A870" s="4">
        <f t="shared" si="60"/>
        <v>2027</v>
      </c>
      <c r="B870" s="4">
        <f t="shared" si="61"/>
        <v>4</v>
      </c>
      <c r="C870" s="1">
        <f t="shared" si="62"/>
        <v>46481</v>
      </c>
    </row>
    <row r="871" spans="1:3">
      <c r="A871" s="4">
        <f t="shared" si="60"/>
        <v>2027</v>
      </c>
      <c r="B871" s="4">
        <f t="shared" si="61"/>
        <v>4</v>
      </c>
      <c r="C871" s="1">
        <f t="shared" si="62"/>
        <v>46482</v>
      </c>
    </row>
    <row r="872" spans="1:3">
      <c r="A872" s="4">
        <f t="shared" si="60"/>
        <v>2027</v>
      </c>
      <c r="B872" s="4">
        <f t="shared" si="61"/>
        <v>4</v>
      </c>
      <c r="C872" s="1">
        <f t="shared" si="62"/>
        <v>46483</v>
      </c>
    </row>
    <row r="873" spans="1:3">
      <c r="A873" s="4">
        <f t="shared" si="60"/>
        <v>2027</v>
      </c>
      <c r="B873" s="4">
        <f t="shared" si="61"/>
        <v>4</v>
      </c>
      <c r="C873" s="1">
        <f t="shared" si="62"/>
        <v>46484</v>
      </c>
    </row>
    <row r="874" spans="1:3">
      <c r="A874" s="4">
        <f t="shared" si="60"/>
        <v>2027</v>
      </c>
      <c r="B874" s="4">
        <f t="shared" si="61"/>
        <v>4</v>
      </c>
      <c r="C874" s="1">
        <f t="shared" si="62"/>
        <v>46485</v>
      </c>
    </row>
    <row r="875" spans="1:3">
      <c r="A875" s="4">
        <f t="shared" si="60"/>
        <v>2027</v>
      </c>
      <c r="B875" s="4">
        <f t="shared" si="61"/>
        <v>4</v>
      </c>
      <c r="C875" s="1">
        <f t="shared" si="62"/>
        <v>46486</v>
      </c>
    </row>
    <row r="876" spans="1:3">
      <c r="A876" s="4">
        <f t="shared" si="60"/>
        <v>2027</v>
      </c>
      <c r="B876" s="4">
        <f t="shared" si="61"/>
        <v>4</v>
      </c>
      <c r="C876" s="1">
        <f t="shared" si="62"/>
        <v>46487</v>
      </c>
    </row>
    <row r="877" spans="1:3">
      <c r="A877" s="4">
        <f t="shared" ref="A877:A904" si="63">YEAR(C877)</f>
        <v>2027</v>
      </c>
      <c r="B877" s="4">
        <f t="shared" ref="B877:B904" si="64">MONTH(C877)</f>
        <v>4</v>
      </c>
      <c r="C877" s="1">
        <f t="shared" si="62"/>
        <v>46488</v>
      </c>
    </row>
    <row r="878" spans="1:3">
      <c r="A878" s="4">
        <f t="shared" si="63"/>
        <v>2027</v>
      </c>
      <c r="B878" s="4">
        <f t="shared" si="64"/>
        <v>4</v>
      </c>
      <c r="C878" s="1">
        <f t="shared" si="62"/>
        <v>46489</v>
      </c>
    </row>
    <row r="879" spans="1:3">
      <c r="A879" s="4">
        <f t="shared" si="63"/>
        <v>2027</v>
      </c>
      <c r="B879" s="4">
        <f t="shared" si="64"/>
        <v>4</v>
      </c>
      <c r="C879" s="1">
        <f t="shared" si="62"/>
        <v>46490</v>
      </c>
    </row>
    <row r="880" spans="1:3">
      <c r="A880" s="4">
        <f t="shared" si="63"/>
        <v>2027</v>
      </c>
      <c r="B880" s="4">
        <f t="shared" si="64"/>
        <v>4</v>
      </c>
      <c r="C880" s="1">
        <f t="shared" si="62"/>
        <v>46491</v>
      </c>
    </row>
    <row r="881" spans="1:3">
      <c r="A881" s="4">
        <f t="shared" si="63"/>
        <v>2027</v>
      </c>
      <c r="B881" s="4">
        <f t="shared" si="64"/>
        <v>4</v>
      </c>
      <c r="C881" s="1">
        <f t="shared" si="62"/>
        <v>46492</v>
      </c>
    </row>
    <row r="882" spans="1:3">
      <c r="A882" s="4">
        <f t="shared" si="63"/>
        <v>2027</v>
      </c>
      <c r="B882" s="4">
        <f t="shared" si="64"/>
        <v>4</v>
      </c>
      <c r="C882" s="1">
        <f t="shared" si="62"/>
        <v>46493</v>
      </c>
    </row>
    <row r="883" spans="1:3">
      <c r="A883" s="4">
        <f t="shared" si="63"/>
        <v>2027</v>
      </c>
      <c r="B883" s="4">
        <f t="shared" si="64"/>
        <v>4</v>
      </c>
      <c r="C883" s="1">
        <f t="shared" si="62"/>
        <v>46494</v>
      </c>
    </row>
    <row r="884" spans="1:3">
      <c r="A884" s="4">
        <f t="shared" si="63"/>
        <v>2027</v>
      </c>
      <c r="B884" s="4">
        <f t="shared" si="64"/>
        <v>4</v>
      </c>
      <c r="C884" s="1">
        <f t="shared" si="62"/>
        <v>46495</v>
      </c>
    </row>
    <row r="885" spans="1:3">
      <c r="A885" s="4">
        <f t="shared" si="63"/>
        <v>2027</v>
      </c>
      <c r="B885" s="4">
        <f t="shared" si="64"/>
        <v>4</v>
      </c>
      <c r="C885" s="1">
        <f t="shared" si="62"/>
        <v>46496</v>
      </c>
    </row>
    <row r="886" spans="1:3">
      <c r="A886" s="4">
        <f t="shared" si="63"/>
        <v>2027</v>
      </c>
      <c r="B886" s="4">
        <f t="shared" si="64"/>
        <v>4</v>
      </c>
      <c r="C886" s="1">
        <f t="shared" si="62"/>
        <v>46497</v>
      </c>
    </row>
    <row r="887" spans="1:3">
      <c r="A887" s="4">
        <f t="shared" si="63"/>
        <v>2027</v>
      </c>
      <c r="B887" s="4">
        <f t="shared" si="64"/>
        <v>4</v>
      </c>
      <c r="C887" s="1">
        <f t="shared" si="62"/>
        <v>46498</v>
      </c>
    </row>
    <row r="888" spans="1:3">
      <c r="A888" s="4">
        <f t="shared" si="63"/>
        <v>2027</v>
      </c>
      <c r="B888" s="4">
        <f t="shared" si="64"/>
        <v>4</v>
      </c>
      <c r="C888" s="1">
        <f t="shared" si="62"/>
        <v>46499</v>
      </c>
    </row>
    <row r="889" spans="1:3">
      <c r="A889" s="4">
        <f t="shared" si="63"/>
        <v>2027</v>
      </c>
      <c r="B889" s="4">
        <f t="shared" si="64"/>
        <v>4</v>
      </c>
      <c r="C889" s="1">
        <f t="shared" si="62"/>
        <v>46500</v>
      </c>
    </row>
    <row r="890" spans="1:3">
      <c r="A890" s="4">
        <f t="shared" si="63"/>
        <v>2027</v>
      </c>
      <c r="B890" s="4">
        <f t="shared" si="64"/>
        <v>4</v>
      </c>
      <c r="C890" s="1">
        <f t="shared" si="62"/>
        <v>46501</v>
      </c>
    </row>
    <row r="891" spans="1:3">
      <c r="A891" s="4">
        <f t="shared" si="63"/>
        <v>2027</v>
      </c>
      <c r="B891" s="4">
        <f t="shared" si="64"/>
        <v>4</v>
      </c>
      <c r="C891" s="1">
        <f t="shared" si="62"/>
        <v>46502</v>
      </c>
    </row>
    <row r="892" spans="1:3">
      <c r="A892" s="4">
        <f t="shared" si="63"/>
        <v>2027</v>
      </c>
      <c r="B892" s="4">
        <f t="shared" si="64"/>
        <v>4</v>
      </c>
      <c r="C892" s="1">
        <f t="shared" si="62"/>
        <v>46503</v>
      </c>
    </row>
    <row r="893" spans="1:3">
      <c r="A893" s="4">
        <f t="shared" si="63"/>
        <v>2027</v>
      </c>
      <c r="B893" s="4">
        <f t="shared" si="64"/>
        <v>4</v>
      </c>
      <c r="C893" s="1">
        <f t="shared" si="62"/>
        <v>46504</v>
      </c>
    </row>
    <row r="894" spans="1:3">
      <c r="A894" s="4">
        <f t="shared" si="63"/>
        <v>2027</v>
      </c>
      <c r="B894" s="4">
        <f t="shared" si="64"/>
        <v>4</v>
      </c>
      <c r="C894" s="1">
        <f t="shared" si="62"/>
        <v>46505</v>
      </c>
    </row>
    <row r="895" spans="1:3">
      <c r="A895" s="4">
        <f t="shared" si="63"/>
        <v>2027</v>
      </c>
      <c r="B895" s="4">
        <f t="shared" si="64"/>
        <v>4</v>
      </c>
      <c r="C895" s="1">
        <f t="shared" si="62"/>
        <v>46506</v>
      </c>
    </row>
    <row r="896" spans="1:3">
      <c r="A896" s="4">
        <f t="shared" si="63"/>
        <v>2027</v>
      </c>
      <c r="B896" s="4">
        <f t="shared" si="64"/>
        <v>4</v>
      </c>
      <c r="C896" s="1">
        <f t="shared" si="62"/>
        <v>46507</v>
      </c>
    </row>
    <row r="897" spans="1:3">
      <c r="A897" s="4">
        <f t="shared" si="63"/>
        <v>2027</v>
      </c>
      <c r="B897" s="4">
        <f t="shared" si="64"/>
        <v>5</v>
      </c>
      <c r="C897" s="1">
        <f t="shared" si="62"/>
        <v>46508</v>
      </c>
    </row>
    <row r="898" spans="1:3">
      <c r="A898" s="4">
        <f t="shared" si="63"/>
        <v>2027</v>
      </c>
      <c r="B898" s="4">
        <f t="shared" si="64"/>
        <v>5</v>
      </c>
      <c r="C898" s="1">
        <f t="shared" si="62"/>
        <v>46509</v>
      </c>
    </row>
    <row r="899" spans="1:3">
      <c r="A899" s="4">
        <f t="shared" si="63"/>
        <v>2027</v>
      </c>
      <c r="B899" s="4">
        <f t="shared" si="64"/>
        <v>5</v>
      </c>
      <c r="C899" s="1">
        <f t="shared" si="62"/>
        <v>46510</v>
      </c>
    </row>
    <row r="900" spans="1:3">
      <c r="A900" s="4">
        <f t="shared" si="63"/>
        <v>2027</v>
      </c>
      <c r="B900" s="4">
        <f t="shared" si="64"/>
        <v>5</v>
      </c>
      <c r="C900" s="1">
        <f t="shared" si="62"/>
        <v>46511</v>
      </c>
    </row>
    <row r="901" spans="1:3">
      <c r="A901" s="4">
        <f t="shared" si="63"/>
        <v>2027</v>
      </c>
      <c r="B901" s="4">
        <f t="shared" si="64"/>
        <v>5</v>
      </c>
      <c r="C901" s="1">
        <f t="shared" si="62"/>
        <v>46512</v>
      </c>
    </row>
    <row r="902" spans="1:3">
      <c r="A902" s="4">
        <f t="shared" si="63"/>
        <v>2027</v>
      </c>
      <c r="B902" s="4">
        <f t="shared" si="64"/>
        <v>5</v>
      </c>
      <c r="C902" s="1">
        <f t="shared" si="62"/>
        <v>46513</v>
      </c>
    </row>
    <row r="903" spans="1:3">
      <c r="A903" s="4">
        <f t="shared" si="63"/>
        <v>2027</v>
      </c>
      <c r="B903" s="4">
        <f t="shared" si="64"/>
        <v>5</v>
      </c>
      <c r="C903" s="1">
        <f t="shared" si="62"/>
        <v>46514</v>
      </c>
    </row>
    <row r="904" spans="1:3">
      <c r="A904" s="4">
        <f t="shared" si="63"/>
        <v>2027</v>
      </c>
      <c r="B904" s="4">
        <f t="shared" si="64"/>
        <v>5</v>
      </c>
      <c r="C904" s="1">
        <f t="shared" si="62"/>
        <v>46515</v>
      </c>
    </row>
  </sheetData>
  <phoneticPr fontId="1"/>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topLeftCell="C10" workbookViewId="0">
      <selection activeCell="J26" sqref="J26"/>
    </sheetView>
  </sheetViews>
  <sheetFormatPr defaultRowHeight="18"/>
  <cols>
    <col min="1" max="1" width="5.1640625" bestFit="1" customWidth="1"/>
    <col min="2" max="2" width="3.5" customWidth="1"/>
    <col min="3" max="3" width="11" style="3" bestFit="1" customWidth="1"/>
    <col min="5" max="5" width="9" bestFit="1" customWidth="1"/>
    <col min="7" max="7" width="8.6640625" style="8"/>
  </cols>
  <sheetData>
    <row r="1" spans="1:9">
      <c r="A1" t="s">
        <v>68</v>
      </c>
      <c r="B1" t="s">
        <v>69</v>
      </c>
      <c r="D1" t="s">
        <v>0</v>
      </c>
      <c r="E1" t="s">
        <v>6</v>
      </c>
      <c r="F1" t="s">
        <v>1</v>
      </c>
      <c r="G1" s="8" t="s">
        <v>71</v>
      </c>
      <c r="H1" t="s">
        <v>23</v>
      </c>
    </row>
    <row r="2" spans="1:9">
      <c r="A2">
        <v>2024</v>
      </c>
      <c r="B2">
        <v>11</v>
      </c>
      <c r="C2" s="3" t="str">
        <f>A2&amp;"_"&amp;B2</f>
        <v>2024_11</v>
      </c>
      <c r="D2" s="5">
        <f>AVERAGEIFS(Sheet1!D:D,Sheet1!$A:$A,$A2,Sheet1!$B:$B,$B2)</f>
        <v>0.56666666666666665</v>
      </c>
      <c r="E2" s="5">
        <f>AVERAGEIFS(Sheet1!E:E,Sheet1!$A:$A,$A2,Sheet1!$B:$B,$B2)</f>
        <v>0.1111111111111111</v>
      </c>
      <c r="F2" s="6">
        <f>AVERAGEIFS(Sheet1!F:F,Sheet1!$A:$A,$A2,Sheet1!$B:$B,$B2)</f>
        <v>54.833333333333336</v>
      </c>
      <c r="G2" s="6"/>
      <c r="H2" s="5">
        <f>AVERAGEIFS(Sheet1!I:I,Sheet1!$A:$A,$A2,Sheet1!$B:$B,$B2)</f>
        <v>0.73333333333333328</v>
      </c>
    </row>
    <row r="3" spans="1:9">
      <c r="A3" s="8">
        <v>2024</v>
      </c>
      <c r="B3" s="8">
        <v>12</v>
      </c>
      <c r="C3" s="3" t="str">
        <f t="shared" ref="C3:C20" si="0">A3&amp;"_"&amp;B3</f>
        <v>2024_12</v>
      </c>
      <c r="D3" s="5">
        <f>AVERAGEIFS(Sheet1!D:D,Sheet1!$A:$A,$A3,Sheet1!$B:$B,$B3)</f>
        <v>0.64516129032258063</v>
      </c>
      <c r="E3" s="5">
        <f>AVERAGEIFS(Sheet1!E:E,Sheet1!$A:$A,$A3,Sheet1!$B:$B,$B3)</f>
        <v>0.27125896057347665</v>
      </c>
      <c r="F3" s="6">
        <f>AVERAGEIFS(Sheet1!F:F,Sheet1!$A:$A,$A3,Sheet1!$B:$B,$B3)</f>
        <v>53.70967741935484</v>
      </c>
      <c r="G3" s="6"/>
      <c r="H3" s="5">
        <f>AVERAGEIFS(Sheet1!I:I,Sheet1!$A:$A,$A3,Sheet1!$B:$B,$B3)</f>
        <v>0.77419354838709675</v>
      </c>
    </row>
    <row r="4" spans="1:9" s="8" customFormat="1">
      <c r="A4" s="8">
        <v>2025</v>
      </c>
      <c r="B4" s="8">
        <v>1</v>
      </c>
      <c r="C4" s="3" t="str">
        <f t="shared" si="0"/>
        <v>2025_1</v>
      </c>
      <c r="D4" s="5">
        <f>AVERAGEIFS(Sheet1!D:D,Sheet1!$A:$A,$A4,Sheet1!$B:$B,$B4)</f>
        <v>0.70967741935483875</v>
      </c>
      <c r="E4" s="10">
        <f>AVERAGEIFS(Sheet1!E:E,Sheet1!$A:$A,$A4,Sheet1!$B:$B,$B4)</f>
        <v>0.25004480286738351</v>
      </c>
      <c r="F4" s="6">
        <f>AVERAGEIFS(Sheet1!F:F,Sheet1!$A:$A,$A4,Sheet1!$B:$B,$B4)</f>
        <v>55.483870967741936</v>
      </c>
      <c r="G4" s="6"/>
      <c r="H4" s="5">
        <f>AVERAGEIFS(Sheet1!I:I,Sheet1!$A:$A,$A4,Sheet1!$B:$B,$B4)</f>
        <v>0.74193548387096775</v>
      </c>
    </row>
    <row r="5" spans="1:9" s="8" customFormat="1">
      <c r="A5" s="8">
        <v>2025</v>
      </c>
      <c r="B5" s="8">
        <v>2</v>
      </c>
      <c r="C5" s="3" t="str">
        <f t="shared" si="0"/>
        <v>2025_2</v>
      </c>
      <c r="D5" s="5">
        <f>AVERAGEIFS(Sheet1!D:D,Sheet1!$A:$A,$A5,Sheet1!$B:$B,$B5)</f>
        <v>0.7142857142857143</v>
      </c>
      <c r="E5" s="10">
        <f>AVERAGEIFS(Sheet1!E:E,Sheet1!$A:$A,$A5,Sheet1!$B:$B,$B5)</f>
        <v>0.25367063492063496</v>
      </c>
      <c r="F5" s="6">
        <f>AVERAGEIFS(Sheet1!F:F,Sheet1!$A:$A,$A5,Sheet1!$B:$B,$B5)</f>
        <v>55.714285714285715</v>
      </c>
      <c r="G5" s="6"/>
      <c r="H5" s="5">
        <f>AVERAGEIFS(Sheet1!I:I,Sheet1!$A:$A,$A5,Sheet1!$B:$B,$B5)</f>
        <v>0.6071428571428571</v>
      </c>
    </row>
    <row r="6" spans="1:9" s="8" customFormat="1">
      <c r="A6" s="8">
        <v>2025</v>
      </c>
      <c r="B6" s="8">
        <v>3</v>
      </c>
      <c r="C6" s="3" t="str">
        <f t="shared" si="0"/>
        <v>2025_3</v>
      </c>
      <c r="D6" s="5">
        <f>AVERAGEIFS(Sheet1!D:D,Sheet1!$A:$A,$A6,Sheet1!$B:$B,$B6)</f>
        <v>0.74193548387096775</v>
      </c>
      <c r="E6" s="10">
        <f>AVERAGEIFS(Sheet1!E:E,Sheet1!$A:$A,$A6,Sheet1!$B:$B,$B6)</f>
        <v>0.26106630824372756</v>
      </c>
      <c r="F6" s="6">
        <f>AVERAGEIFS(Sheet1!F:F,Sheet1!$A:$A,$A6,Sheet1!$B:$B,$B6)</f>
        <v>51.548387096774192</v>
      </c>
      <c r="G6" s="6">
        <f>AVERAGEIFS(Sheet1!H:H,Sheet1!$A:$A,$A6,Sheet1!$B:$B,$B6)</f>
        <v>22.2</v>
      </c>
      <c r="H6" s="5">
        <f>AVERAGEIFS(Sheet1!I:I,Sheet1!$A:$A,$A6,Sheet1!$B:$B,$B6)</f>
        <v>0.80645161290322576</v>
      </c>
    </row>
    <row r="7" spans="1:9" s="8" customFormat="1">
      <c r="A7" s="8">
        <v>2025</v>
      </c>
      <c r="B7" s="8">
        <v>4</v>
      </c>
      <c r="C7" s="3" t="str">
        <f t="shared" si="0"/>
        <v>2025_4</v>
      </c>
      <c r="D7" s="5">
        <f>AVERAGEIFS(Sheet1!D:D,Sheet1!$A:$A,$A7,Sheet1!$B:$B,$B7)</f>
        <v>0.62068965517241381</v>
      </c>
      <c r="E7" s="10">
        <f>AVERAGEIFS(Sheet1!E:E,Sheet1!$A:$A,$A7,Sheet1!$B:$B,$B7)</f>
        <v>0.25301724137931036</v>
      </c>
      <c r="F7" s="6">
        <f>AVERAGEIFS(Sheet1!F:F,Sheet1!$A:$A,$A7,Sheet1!$B:$B,$B7)</f>
        <v>77.241379310344826</v>
      </c>
      <c r="G7" s="6">
        <f>AVERAGEIFS(Sheet1!H:H,Sheet1!$A:$A,$A7,Sheet1!$B:$B,$B7)</f>
        <v>15.608695652173912</v>
      </c>
      <c r="H7" s="5">
        <f>AVERAGEIFS(Sheet1!I:I,Sheet1!$A:$A,$A7,Sheet1!$B:$B,$B7)</f>
        <v>0.62068965517241381</v>
      </c>
    </row>
    <row r="8" spans="1:9">
      <c r="A8" s="8">
        <v>2025</v>
      </c>
      <c r="B8" s="8">
        <v>5</v>
      </c>
      <c r="C8" s="3" t="str">
        <f t="shared" si="0"/>
        <v>2025_5</v>
      </c>
      <c r="D8" s="5">
        <f>AVERAGEIFS(Sheet1!D:D,Sheet1!$A:$A,$A8,Sheet1!$B:$B,$B8)</f>
        <v>0.6428571428571429</v>
      </c>
      <c r="E8" s="10">
        <f>AVERAGEIFS(Sheet1!E:E,Sheet1!$A:$A,$A8,Sheet1!$B:$B,$B8)</f>
        <v>0.22648809523809524</v>
      </c>
      <c r="F8" s="6">
        <f>AVERAGEIFS(Sheet1!F:F,Sheet1!$A:$A,$A8,Sheet1!$B:$B,$B8)</f>
        <v>84.857142857142861</v>
      </c>
      <c r="G8" s="6">
        <f>AVERAGEIFS(Sheet1!H:H,Sheet1!$A:$A,$A8,Sheet1!$B:$B,$B8)</f>
        <v>0</v>
      </c>
      <c r="H8" s="5">
        <f>AVERAGEIFS(Sheet1!I:I,Sheet1!$A:$A,$A8,Sheet1!$B:$B,$B8)</f>
        <v>0.7142857142857143</v>
      </c>
    </row>
    <row r="9" spans="1:9" s="8" customFormat="1">
      <c r="A9" s="8">
        <v>2025</v>
      </c>
      <c r="B9" s="8">
        <v>6</v>
      </c>
      <c r="C9" s="3" t="str">
        <f t="shared" si="0"/>
        <v>2025_6</v>
      </c>
      <c r="D9" s="5">
        <f>AVERAGEIFS(Sheet1!D:D,Sheet1!$A:$A,$A9,Sheet1!$B:$B,$B9)</f>
        <v>0.9</v>
      </c>
      <c r="E9" s="10">
        <f>AVERAGEIFS(Sheet1!E:E,Sheet1!$A:$A,$A9,Sheet1!$B:$B,$B9)</f>
        <v>0.23074074074074075</v>
      </c>
      <c r="F9" s="6">
        <f>AVERAGEIFS(Sheet1!F:F,Sheet1!$A:$A,$A9,Sheet1!$B:$B,$B9)</f>
        <v>77.666666666666671</v>
      </c>
      <c r="G9" s="6">
        <f>AVERAGEIFS(Sheet1!H:H,Sheet1!$A:$A,$A9,Sheet1!$B:$B,$B9)</f>
        <v>0</v>
      </c>
      <c r="H9" s="5">
        <f>AVERAGEIFS(Sheet1!I:I,Sheet1!$A:$A,$A9,Sheet1!$B:$B,$B9)</f>
        <v>0.53333333333333333</v>
      </c>
    </row>
    <row r="10" spans="1:9" s="8" customFormat="1">
      <c r="A10" s="8">
        <v>2025</v>
      </c>
      <c r="B10" s="8">
        <v>7</v>
      </c>
      <c r="C10" s="3" t="str">
        <f t="shared" si="0"/>
        <v>2025_7</v>
      </c>
      <c r="D10" s="5">
        <f>AVERAGEIFS(Sheet1!D:D,Sheet1!$A:$A,$A10,Sheet1!$B:$B,$B10)</f>
        <v>0.77419354838709675</v>
      </c>
      <c r="E10" s="10">
        <f>AVERAGEIFS(Sheet1!E:E,Sheet1!$A:$A,$A10,Sheet1!$B:$B,$B10)</f>
        <v>0.23931451612903226</v>
      </c>
      <c r="F10" s="6">
        <f>AVERAGEIFS(Sheet1!F:F,Sheet1!$A:$A,$A10,Sheet1!$B:$B,$B10)</f>
        <v>67.903225806451616</v>
      </c>
      <c r="G10" s="6">
        <f>AVERAGEIFS(Sheet1!H:H,Sheet1!$A:$A,$A10,Sheet1!$B:$B,$B10)</f>
        <v>8.387096774193548</v>
      </c>
      <c r="H10" s="5">
        <f>AVERAGEIFS(Sheet1!I:I,Sheet1!$A:$A,$A10,Sheet1!$B:$B,$B10)</f>
        <v>0.61290322580645162</v>
      </c>
    </row>
    <row r="11" spans="1:9">
      <c r="A11" s="8">
        <v>2025</v>
      </c>
      <c r="B11" s="8">
        <v>8</v>
      </c>
      <c r="C11" s="3" t="str">
        <f t="shared" si="0"/>
        <v>2025_8</v>
      </c>
      <c r="D11" s="5">
        <f>AVERAGEIFS(Sheet1!D:D,Sheet1!$A:$A,$A11,Sheet1!$B:$B,$B11)</f>
        <v>0.77272727272727271</v>
      </c>
      <c r="E11" s="10">
        <f>AVERAGEIFS(Sheet1!E:E,Sheet1!$A:$A,$A11,Sheet1!$B:$B,$B11)</f>
        <v>0.25226608187134508</v>
      </c>
      <c r="F11" s="6">
        <f>AVERAGEIFS(Sheet1!F:F,Sheet1!$A:$A,$A11,Sheet1!$B:$B,$B11)</f>
        <v>80.294117647058826</v>
      </c>
      <c r="G11" s="6">
        <f>AVERAGEIFS(Sheet1!H:H,Sheet1!$A:$A,$A11,Sheet1!$B:$B,$B11)</f>
        <v>10</v>
      </c>
      <c r="H11" s="5">
        <f>AVERAGEIFS(Sheet1!I:I,Sheet1!$A:$A,$A11,Sheet1!$B:$B,$B11)</f>
        <v>0.77272727272727271</v>
      </c>
      <c r="I11" s="8"/>
    </row>
    <row r="12" spans="1:9">
      <c r="A12" s="8">
        <v>2025</v>
      </c>
      <c r="B12" s="8">
        <v>9</v>
      </c>
      <c r="C12" s="3" t="str">
        <f t="shared" si="0"/>
        <v>2025_9</v>
      </c>
      <c r="D12" s="5">
        <f>AVERAGEIFS(Sheet1!D:D,Sheet1!$A:$A,$A12,Sheet1!$B:$B,$B12)</f>
        <v>0.83333333333333337</v>
      </c>
      <c r="E12" s="10">
        <f>AVERAGEIFS(Sheet1!E:E,Sheet1!$A:$A,$A12,Sheet1!$B:$B,$B12)</f>
        <v>0.24129629629629626</v>
      </c>
      <c r="F12" s="6">
        <f>AVERAGEIFS(Sheet1!F:F,Sheet1!$A:$A,$A12,Sheet1!$B:$B,$B12)</f>
        <v>73.84615384615384</v>
      </c>
      <c r="G12" s="6">
        <f>AVERAGEIFS(Sheet1!H:H,Sheet1!$A:$A,$A12,Sheet1!$B:$B,$B12)</f>
        <v>20.428571428571427</v>
      </c>
      <c r="H12" s="5">
        <f>AVERAGEIFS(Sheet1!I:I,Sheet1!$A:$A,$A12,Sheet1!$B:$B,$B12)</f>
        <v>0.66666666666666663</v>
      </c>
    </row>
    <row r="13" spans="1:9" s="8" customFormat="1">
      <c r="A13" s="8">
        <v>2025</v>
      </c>
      <c r="B13" s="8">
        <v>10</v>
      </c>
      <c r="C13" s="3" t="str">
        <f t="shared" si="0"/>
        <v>2025_10</v>
      </c>
      <c r="D13" s="5">
        <f>AVERAGEIFS(Sheet1!D:D,Sheet1!$A:$A,$A13,Sheet1!$B:$B,$B13)</f>
        <v>0.77419354838709675</v>
      </c>
      <c r="E13" s="10">
        <f>AVERAGEIFS(Sheet1!E:E,Sheet1!$A:$A,$A13,Sheet1!$B:$B,$B13)</f>
        <v>0.24690860215053767</v>
      </c>
      <c r="F13" s="6">
        <f>AVERAGEIFS(Sheet1!F:F,Sheet1!$A:$A,$A13,Sheet1!$B:$B,$B13)</f>
        <v>69.677419354838705</v>
      </c>
      <c r="G13" s="6" t="e">
        <f>AVERAGEIFS(Sheet1!H:H,Sheet1!$A:$A,$A13,Sheet1!$B:$B,$B13)</f>
        <v>#DIV/0!</v>
      </c>
      <c r="H13" s="5">
        <f>AVERAGEIFS(Sheet1!I:I,Sheet1!$A:$A,$A13,Sheet1!$B:$B,$B13)</f>
        <v>0.74193548387096775</v>
      </c>
    </row>
    <row r="14" spans="1:9" s="8" customFormat="1">
      <c r="A14" s="8">
        <f t="shared" ref="A14:A19" si="1">IF(B14=1,A13+1,A13)</f>
        <v>2025</v>
      </c>
      <c r="B14" s="8">
        <f>IF(B13=12,1,B13+1)</f>
        <v>11</v>
      </c>
      <c r="C14" s="3" t="str">
        <f t="shared" si="0"/>
        <v>2025_11</v>
      </c>
      <c r="D14" s="5">
        <f>AVERAGEIFS(Sheet1!D:D,Sheet1!$A:$A,$A14,Sheet1!$B:$B,$B14)</f>
        <v>0.8666666666666667</v>
      </c>
      <c r="E14" s="10">
        <f>AVERAGEIFS(Sheet1!E:E,Sheet1!$A:$A,$A14,Sheet1!$B:$B,$B14)</f>
        <v>0.24704218106995882</v>
      </c>
      <c r="F14" s="6">
        <f>AVERAGEIFS(Sheet1!F:F,Sheet1!$A:$A,$A14,Sheet1!$B:$B,$B14)</f>
        <v>65.592592592592595</v>
      </c>
      <c r="G14" s="6">
        <f>SUMIFS(Sheet1!H:H,Sheet1!$A:$A,$A14,Sheet1!$B:$B,$B14)/20</f>
        <v>19.95</v>
      </c>
      <c r="H14" s="5">
        <f>AVERAGEIFS(Sheet1!I:I,Sheet1!$A:$A,$A14,Sheet1!$B:$B,$B14)</f>
        <v>0.7</v>
      </c>
      <c r="I14" s="8" t="s">
        <v>87</v>
      </c>
    </row>
    <row r="15" spans="1:9">
      <c r="A15">
        <f t="shared" si="1"/>
        <v>2025</v>
      </c>
      <c r="B15">
        <f>IF(B14=12,1,B14+1)</f>
        <v>12</v>
      </c>
      <c r="C15" s="3" t="str">
        <f t="shared" si="0"/>
        <v>2025_12</v>
      </c>
      <c r="D15" s="5">
        <f>AVERAGEIFS(Sheet1!D:D,Sheet1!$A:$A,$A15,Sheet1!$B:$B,$B15)</f>
        <v>0.83870967741935487</v>
      </c>
      <c r="E15" s="10">
        <f>AVERAGEIFS(Sheet1!E:E,Sheet1!$A:$A,$A15,Sheet1!$B:$B,$B15)</f>
        <v>0.24121863799283161</v>
      </c>
      <c r="F15" s="6">
        <f>AVERAGEIFS(Sheet1!F:F,Sheet1!$A:$A,$A15,Sheet1!$B:$B,$B15)</f>
        <v>92.741935483870961</v>
      </c>
      <c r="G15" s="6">
        <f>SUMIFS(Sheet1!H:H,Sheet1!$A:$A,$A15,Sheet1!$B:$B,$B15)/20</f>
        <v>28.9</v>
      </c>
      <c r="H15" s="5">
        <f>AVERAGEIFS(Sheet1!I:I,Sheet1!$A:$A,$A15,Sheet1!$B:$B,$B15)</f>
        <v>0.70967741935483875</v>
      </c>
    </row>
    <row r="16" spans="1:9">
      <c r="A16" s="8">
        <f t="shared" si="1"/>
        <v>2026</v>
      </c>
      <c r="B16" s="8">
        <f t="shared" ref="B16:B22" si="2">IF(B15=12,1,B15+1)</f>
        <v>1</v>
      </c>
      <c r="C16" s="3" t="str">
        <f t="shared" si="0"/>
        <v>2026_1</v>
      </c>
      <c r="D16" s="5">
        <f>AVERAGEIFS(Sheet1!D:D,Sheet1!$A:$A,$A16,Sheet1!$B:$B,$B16)</f>
        <v>0.90322580645161288</v>
      </c>
      <c r="E16" s="10">
        <f>AVERAGEIFS(Sheet1!E:E,Sheet1!$A:$A,$A16,Sheet1!$B:$B,$B16)</f>
        <v>0.22390232974910393</v>
      </c>
      <c r="F16" s="6">
        <f>AVERAGEIFS(Sheet1!F:F,Sheet1!$A:$A,$A16,Sheet1!$B:$B,$B16)</f>
        <v>101.12903225806451</v>
      </c>
      <c r="G16" s="6">
        <f>SUMIFS(Sheet1!H:H,Sheet1!$A:$A,$A16,Sheet1!$B:$B,$B16)/20</f>
        <v>30.35</v>
      </c>
      <c r="H16" s="5">
        <f>AVERAGEIFS(Sheet1!I:I,Sheet1!$A:$A,$A16,Sheet1!$B:$B,$B16)</f>
        <v>0.61290322580645162</v>
      </c>
    </row>
    <row r="17" spans="1:13">
      <c r="A17" s="8">
        <f t="shared" si="1"/>
        <v>2026</v>
      </c>
      <c r="B17" s="8">
        <f t="shared" si="2"/>
        <v>2</v>
      </c>
      <c r="C17" s="3" t="str">
        <f t="shared" si="0"/>
        <v>2026_2</v>
      </c>
      <c r="D17" s="5">
        <f>AVERAGEIFS(Sheet1!D:D,Sheet1!$A:$A,$A17,Sheet1!$B:$B,$B17)</f>
        <v>0.625</v>
      </c>
      <c r="E17" s="10">
        <f>AVERAGEIFS(Sheet1!E:E,Sheet1!$A:$A,$A17,Sheet1!$B:$B,$B17)</f>
        <v>0.22920524691358024</v>
      </c>
      <c r="F17" s="6">
        <f>AVERAGEIFS(Sheet1!F:F,Sheet1!$A:$A,$A17,Sheet1!$B:$B,$B17)</f>
        <v>77.263157894736835</v>
      </c>
      <c r="G17" s="6">
        <f>SUMIFS(Sheet1!H:H,Sheet1!$A:$A,$A17,Sheet1!$B:$B,$B17)/20</f>
        <v>18.100000000000001</v>
      </c>
      <c r="H17" s="5">
        <f>AVERAGEIFS(Sheet1!I:I,Sheet1!$A:$A,$A17,Sheet1!$B:$B,$B17)</f>
        <v>0.69230769230769229</v>
      </c>
    </row>
    <row r="18" spans="1:13">
      <c r="A18" s="8">
        <f t="shared" si="1"/>
        <v>2026</v>
      </c>
      <c r="B18" s="8">
        <f t="shared" si="2"/>
        <v>3</v>
      </c>
      <c r="C18" s="3" t="str">
        <f t="shared" si="0"/>
        <v>2026_3</v>
      </c>
      <c r="D18" s="5">
        <f>AVERAGEIFS(Sheet1!D:D,Sheet1!$A:$A,$A18,Sheet1!$B:$B,$B18)</f>
        <v>0.7407407407407407</v>
      </c>
      <c r="E18" s="10">
        <f>AVERAGEIFS(Sheet1!E:E,Sheet1!$A:$A,$A18,Sheet1!$B:$B,$B18)</f>
        <v>0.24097222222222223</v>
      </c>
      <c r="F18" s="6">
        <f>AVERAGEIFS(Sheet1!F:F,Sheet1!$A:$A,$A18,Sheet1!$B:$B,$B18)</f>
        <v>64.629629629629633</v>
      </c>
      <c r="G18" s="6">
        <f>SUMIFS(Sheet1!H:H,Sheet1!$A:$A,$A18,Sheet1!$B:$B,$B18)/20</f>
        <v>16.399999999999999</v>
      </c>
      <c r="H18" s="5">
        <f>AVERAGEIFS(Sheet1!I:I,Sheet1!$A:$A,$A18,Sheet1!$B:$B,$B18)</f>
        <v>0.76</v>
      </c>
    </row>
    <row r="19" spans="1:13" s="8" customFormat="1">
      <c r="A19" s="8">
        <f t="shared" si="1"/>
        <v>2026</v>
      </c>
      <c r="B19" s="8">
        <f t="shared" si="2"/>
        <v>4</v>
      </c>
      <c r="C19" s="3" t="str">
        <f t="shared" si="0"/>
        <v>2026_4</v>
      </c>
      <c r="D19" s="5">
        <f>AVERAGEIFS(Sheet1!D:D,Sheet1!$A:$A,$A19,Sheet1!$B:$B,$B19)</f>
        <v>0.76666666666666672</v>
      </c>
      <c r="E19" s="10">
        <f>AVERAGEIFS(Sheet1!E:E,Sheet1!$A:$A,$A19,Sheet1!$B:$B,$B19)</f>
        <v>0.2130028735632184</v>
      </c>
      <c r="F19" s="6">
        <f>AVERAGEIFS(Sheet1!F:F,Sheet1!$A:$A,$A19,Sheet1!$B:$B,$B19)</f>
        <v>108.10344827586206</v>
      </c>
      <c r="G19" s="6">
        <f>SUMIFS(Sheet1!H:H,Sheet1!$A:$A,$A19,Sheet1!$B:$B,$B19)/20</f>
        <v>5.0999999999999996</v>
      </c>
      <c r="H19" s="5">
        <f>AVERAGEIFS(Sheet1!I:I,Sheet1!$A:$A,$A19,Sheet1!$B:$B,$B19)</f>
        <v>0.83333333333333337</v>
      </c>
    </row>
    <row r="20" spans="1:13" s="8" customFormat="1">
      <c r="A20" s="8">
        <f t="shared" ref="A20" si="3">IF(B20=1,A19+1,A19)</f>
        <v>2026</v>
      </c>
      <c r="B20" s="8">
        <f t="shared" si="2"/>
        <v>5</v>
      </c>
      <c r="C20" s="3" t="str">
        <f t="shared" si="0"/>
        <v>2026_5</v>
      </c>
      <c r="D20" s="5">
        <f>AVERAGEIFS(Sheet1!D:D,Sheet1!$A:$A,$A20,Sheet1!$B:$B,$B20)</f>
        <v>0.82758620689655171</v>
      </c>
      <c r="E20" s="10">
        <f>AVERAGEIFS(Sheet1!E:E,Sheet1!$A:$A,$A20,Sheet1!$B:$B,$B20)</f>
        <v>0.21740591397849465</v>
      </c>
      <c r="F20" s="6">
        <f>AVERAGEIFS(Sheet1!F:F,Sheet1!$A:$A,$A20,Sheet1!$B:$B,$B20)</f>
        <v>94.032258064516128</v>
      </c>
      <c r="G20" s="6">
        <f>SUMIFS(Sheet1!H:H,Sheet1!$A:$A,$A20,Sheet1!$B:$B,$B20)/20</f>
        <v>0</v>
      </c>
      <c r="H20" s="5">
        <f>AVERAGEIFS(Sheet1!I:I,Sheet1!$A:$A,$A20,Sheet1!$B:$B,$B20)</f>
        <v>0.83870967741935487</v>
      </c>
    </row>
    <row r="21" spans="1:13" s="8" customFormat="1">
      <c r="A21" s="8">
        <f t="shared" ref="A21" si="4">IF(B21=1,A20+1,A20)</f>
        <v>2026</v>
      </c>
      <c r="B21" s="8">
        <f t="shared" si="2"/>
        <v>6</v>
      </c>
      <c r="C21" s="3" t="str">
        <f t="shared" ref="C21" si="5">A21&amp;"_"&amp;B21</f>
        <v>2026_6</v>
      </c>
      <c r="D21" s="5">
        <f>AVERAGEIFS(Sheet1!D:D,Sheet1!$A:$A,$A21,Sheet1!$B:$B,$B21)</f>
        <v>0.26666666666666666</v>
      </c>
      <c r="E21" s="10">
        <f>AVERAGEIFS(Sheet1!E:E,Sheet1!$A:$A,$A21,Sheet1!$B:$B,$B21)</f>
        <v>0.19129629629629621</v>
      </c>
      <c r="F21" s="6">
        <f>AVERAGEIFS(Sheet1!F:F,Sheet1!$A:$A,$A21,Sheet1!$B:$B,$B21)</f>
        <v>139.5</v>
      </c>
      <c r="G21" s="6">
        <f>SUMIFS(Sheet1!H:H,Sheet1!$A:$A,$A21,Sheet1!$B:$B,$B21)/20</f>
        <v>44</v>
      </c>
      <c r="H21" s="5">
        <f>AVERAGEIFS(Sheet1!I:I,Sheet1!$A:$A,$A21,Sheet1!$B:$B,$B21)</f>
        <v>0.76666666666666672</v>
      </c>
    </row>
    <row r="22" spans="1:13">
      <c r="A22" s="8">
        <f t="shared" ref="A22" si="6">IF(B22=1,A21+1,A21)</f>
        <v>2026</v>
      </c>
      <c r="B22" s="8">
        <f t="shared" si="2"/>
        <v>7</v>
      </c>
      <c r="C22" s="3" t="str">
        <f t="shared" ref="C22" si="7">A22&amp;"_"&amp;B22</f>
        <v>2026_7</v>
      </c>
      <c r="D22" s="5">
        <f>AVERAGEIFS(Sheet1!D:D,Sheet1!$A:$A,$A22,Sheet1!$B:$B,$B22)</f>
        <v>0.41935483870967744</v>
      </c>
      <c r="E22" s="10">
        <f>AVERAGEIFS(Sheet1!E:E,Sheet1!$A:$A,$A22,Sheet1!$B:$B,$B22)</f>
        <v>0.19491487455197129</v>
      </c>
      <c r="F22" s="6">
        <f>AVERAGEIFS(Sheet1!F:F,Sheet1!$A:$A,$A22,Sheet1!$B:$B,$B22)</f>
        <v>113.06451612903226</v>
      </c>
      <c r="G22" s="6">
        <f>SUMIFS(Sheet1!H:H,Sheet1!$A:$A,$A22,Sheet1!$B:$B,$B22)/20</f>
        <v>50.5</v>
      </c>
      <c r="H22" s="5">
        <f>AVERAGEIFS(Sheet1!I:I,Sheet1!$A:$A,$A22,Sheet1!$B:$B,$B22)</f>
        <v>0.80645161290322576</v>
      </c>
    </row>
    <row r="23" spans="1:13">
      <c r="J23" s="12" t="s">
        <v>115</v>
      </c>
      <c r="M23" s="8" t="s">
        <v>104</v>
      </c>
    </row>
    <row r="24" spans="1:13">
      <c r="J24" s="12" t="s">
        <v>116</v>
      </c>
      <c r="M24" s="8" t="s">
        <v>105</v>
      </c>
    </row>
    <row r="25" spans="1:13">
      <c r="J25" s="12" t="s">
        <v>117</v>
      </c>
      <c r="M25" s="8" t="s">
        <v>106</v>
      </c>
    </row>
    <row r="26" spans="1:13">
      <c r="J26" s="12" t="s">
        <v>118</v>
      </c>
      <c r="M26" s="8" t="s">
        <v>107</v>
      </c>
    </row>
    <row r="27" spans="1:13">
      <c r="J27" s="12" t="s">
        <v>122</v>
      </c>
      <c r="M27" s="8" t="s">
        <v>108</v>
      </c>
    </row>
    <row r="28" spans="1:13">
      <c r="M28" s="8" t="s">
        <v>109</v>
      </c>
    </row>
  </sheetData>
  <phoneticPr fontId="1"/>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
  <sheetViews>
    <sheetView topLeftCell="A10" workbookViewId="0">
      <selection activeCell="H17" sqref="H17"/>
    </sheetView>
  </sheetViews>
  <sheetFormatPr defaultRowHeight="18"/>
  <cols>
    <col min="1" max="1" width="5.1640625" style="8" bestFit="1" customWidth="1"/>
    <col min="2" max="2" width="3.5" style="8" customWidth="1"/>
  </cols>
  <sheetData>
    <row r="1" spans="1:20" s="8" customFormat="1">
      <c r="A1" s="8" t="s">
        <v>68</v>
      </c>
      <c r="B1" s="8" t="s">
        <v>69</v>
      </c>
      <c r="D1" s="8" t="s">
        <v>45</v>
      </c>
      <c r="E1" s="8" t="s">
        <v>6</v>
      </c>
      <c r="F1" s="8" t="s">
        <v>1</v>
      </c>
      <c r="H1" s="8" t="s">
        <v>71</v>
      </c>
      <c r="I1" s="8" t="s">
        <v>23</v>
      </c>
      <c r="J1" s="8" t="s">
        <v>55</v>
      </c>
      <c r="K1" s="8" t="s">
        <v>56</v>
      </c>
      <c r="L1" s="8" t="s">
        <v>57</v>
      </c>
      <c r="M1" s="8" t="s">
        <v>70</v>
      </c>
      <c r="N1" s="8" t="s">
        <v>58</v>
      </c>
      <c r="O1" s="8" t="s">
        <v>60</v>
      </c>
      <c r="P1" s="8" t="s">
        <v>59</v>
      </c>
      <c r="Q1" s="8" t="s">
        <v>63</v>
      </c>
      <c r="S1" s="8" t="s">
        <v>26</v>
      </c>
      <c r="T1" s="8" t="s">
        <v>27</v>
      </c>
    </row>
    <row r="2" spans="1:20" s="8" customFormat="1">
      <c r="A2" s="8">
        <v>2024</v>
      </c>
      <c r="B2" s="8">
        <v>11</v>
      </c>
    </row>
    <row r="3" spans="1:20" s="8" customFormat="1">
      <c r="A3" s="8">
        <v>2024</v>
      </c>
      <c r="B3" s="8">
        <v>12</v>
      </c>
    </row>
    <row r="4" spans="1:20">
      <c r="A4" s="8">
        <v>2025</v>
      </c>
      <c r="B4" s="8">
        <v>1</v>
      </c>
    </row>
    <row r="5" spans="1:20">
      <c r="A5" s="8">
        <v>2025</v>
      </c>
      <c r="B5" s="8">
        <v>2</v>
      </c>
    </row>
    <row r="6" spans="1:20">
      <c r="A6" s="8">
        <v>2025</v>
      </c>
      <c r="B6" s="8">
        <v>3</v>
      </c>
    </row>
    <row r="7" spans="1:20">
      <c r="A7" s="8">
        <v>2025</v>
      </c>
      <c r="B7" s="8">
        <v>4</v>
      </c>
    </row>
    <row r="8" spans="1:20">
      <c r="A8" s="8">
        <v>2025</v>
      </c>
      <c r="B8" s="8">
        <v>5</v>
      </c>
    </row>
    <row r="9" spans="1:20">
      <c r="A9" s="8">
        <v>2025</v>
      </c>
      <c r="B9" s="8">
        <v>6</v>
      </c>
    </row>
    <row r="10" spans="1:20">
      <c r="A10" s="8">
        <v>2025</v>
      </c>
      <c r="B10" s="8">
        <v>7</v>
      </c>
    </row>
    <row r="11" spans="1:20">
      <c r="A11" s="8">
        <v>2025</v>
      </c>
      <c r="B11" s="8">
        <v>8</v>
      </c>
    </row>
    <row r="12" spans="1:20">
      <c r="A12" s="8">
        <v>2025</v>
      </c>
      <c r="B12" s="8">
        <v>9</v>
      </c>
    </row>
    <row r="13" spans="1:20">
      <c r="A13" s="8">
        <v>2025</v>
      </c>
      <c r="B13" s="8">
        <v>10</v>
      </c>
    </row>
    <row r="14" spans="1:20">
      <c r="A14" s="8">
        <f>IF(B14=1,A13+1,A13)</f>
        <v>2025</v>
      </c>
      <c r="B14" s="8">
        <f>IF(B13=12,1,B13+1)</f>
        <v>11</v>
      </c>
      <c r="D14" s="11">
        <v>0.7</v>
      </c>
      <c r="E14" s="9">
        <v>0.22916666666666666</v>
      </c>
      <c r="F14">
        <v>90</v>
      </c>
      <c r="H14">
        <v>20</v>
      </c>
      <c r="I14" s="11">
        <v>0.75</v>
      </c>
      <c r="J14">
        <v>20</v>
      </c>
      <c r="L14">
        <v>20</v>
      </c>
      <c r="S14" t="s">
        <v>72</v>
      </c>
    </row>
    <row r="15" spans="1:20">
      <c r="A15" s="8">
        <f>IF(B15=1,A14+1,A14)</f>
        <v>2025</v>
      </c>
      <c r="B15" s="8">
        <f>IF(B14=12,1,B14+1)</f>
        <v>12</v>
      </c>
      <c r="H15">
        <v>25</v>
      </c>
    </row>
    <row r="16" spans="1:20">
      <c r="A16" s="8">
        <f>IF(B16=1,A15+1,A15)</f>
        <v>2026</v>
      </c>
      <c r="B16" s="8">
        <f t="shared" ref="B16" si="0">IF(B15=12,1,B15+1)</f>
        <v>1</v>
      </c>
      <c r="H16">
        <v>30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2" sqref="A2"/>
    </sheetView>
  </sheetViews>
  <sheetFormatPr defaultRowHeight="18"/>
  <sheetData>
    <row r="3" spans="1:2">
      <c r="A3" t="s">
        <v>79</v>
      </c>
    </row>
    <row r="4" spans="1:2">
      <c r="B4" t="s">
        <v>77</v>
      </c>
    </row>
    <row r="5" spans="1:2">
      <c r="B5" s="8" t="s">
        <v>78</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 n</dc:creator>
  <cp:lastModifiedBy>ryo n</cp:lastModifiedBy>
  <dcterms:created xsi:type="dcterms:W3CDTF">2024-10-28T17:45:38Z</dcterms:created>
  <dcterms:modified xsi:type="dcterms:W3CDTF">2026-08-26T19:44:36Z</dcterms:modified>
</cp:coreProperties>
</file>